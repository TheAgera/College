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filterPrivacy="1" codeName="ThisWorkbook"/>
  <xr:revisionPtr revIDLastSave="0" documentId="8_{8676B6F4-1313-4F7B-8FA8-68A35264EBAB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Inventory list" sheetId="2" r:id="rId1"/>
  </sheets>
  <functionGroups builtInGroupCount="19"/>
  <definedNames>
    <definedName name="BinNumber">#REF!</definedName>
    <definedName name="ColumnTitle1">InventoryList[[#Headers],[SKU]]</definedName>
    <definedName name="ColumnTitle2">#REF!</definedName>
    <definedName name="ColumnTitle3">#REF!</definedName>
    <definedName name="_xlnm.Print_Titles" localSheetId="0">'Inventory list'!$3:$3</definedName>
    <definedName name="SKULookup">InventoryList[SKU]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F2" i="2"/>
  <c r="I6" i="2" a="1"/>
  <c r="I12" i="2" a="1"/>
  <c r="I13" i="2" a="1"/>
  <c r="I8" i="2" a="1"/>
  <c r="I10" i="2" a="1"/>
  <c r="I5" i="2" a="1"/>
  <c r="I9" i="2" a="1"/>
  <c r="I4" i="2" a="1"/>
  <c r="I11" i="2" a="1"/>
  <c r="I14" i="2" a="1"/>
  <c r="I7" i="2" a="1"/>
  <c r="I7" i="2" l="1"/>
  <c r="I14" i="2"/>
  <c r="I11" i="2"/>
  <c r="I4" i="2"/>
  <c r="I9" i="2"/>
  <c r="I5" i="2"/>
  <c r="I10" i="2"/>
  <c r="I8" i="2"/>
  <c r="I13" i="2"/>
  <c r="I12" i="2"/>
  <c r="I6" i="2"/>
  <c r="C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tc={A95610B2-FAB9-45A4-879C-75B5E09D5C7F}</author>
    <author>tc={09ED426E-388B-4723-BA33-A6370D8DFD04}</author>
  </authors>
  <commentList>
    <comment ref="B2" authorId="0" shapeId="0" xr:uid="{A95610B2-FAB9-45A4-879C-75B5E09D5C7F}">
      <text>
        <t>[Threaded comment]
Your version of Excel allows you to read this threaded comment; however, any edits to it will get removed if the file is opened in a newer version of Excel. Learn more: https://go.microsoft.com/fwlink/?linkid=870924
Comment:
    Inventory based on values in column J</t>
      </text>
    </comment>
    <comment ref="C3" authorId="1" shapeId="0" xr:uid="{09ED426E-388B-4723-BA33-A6370D8DFD04}">
      <text>
        <t>[Threaded comment]
Your version of Excel allows you to read this threaded comment; however, any edits to it will get removed if the file is opened in a newer version of Excel. Learn more: https://go.microsoft.com/fwlink/?linkid=870924
Comment:
    Count of items in Column C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<sst xmlns="http://schemas.openxmlformats.org/spreadsheetml/2006/main" count="14" uniqueCount="14">
  <si>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SKU</t>
  </si>
  <si>
    <t>TOTAL INVENTORY VALUE:</t>
  </si>
  <si>
    <t>DESCRIPTION</t>
  </si>
  <si>
    <t>BIN #</t>
  </si>
  <si>
    <t>LOCATION</t>
  </si>
  <si>
    <t>UNIT</t>
  </si>
  <si>
    <t>QTY</t>
  </si>
  <si>
    <t>REORDER QTY</t>
  </si>
  <si>
    <t>COST</t>
  </si>
  <si>
    <t>INVENTORY VALUE</t>
  </si>
  <si>
    <t>REORDER</t>
  </si>
  <si>
    <t>INVENTORY LIST</t>
  </si>
  <si>
    <t>INVENTORY ITEMS:</t>
  </si>
  <si>
    <t>BIN 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</si>
</sst>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7" formatCode="&quot;$&quot;#,##0.00_);\(&quot;$&quot;#,##0.00\)"/>
    <numFmt numFmtId="164" formatCode="&quot;Reorder&quot;;&quot;&quot;;&quot;&quot;"/>
  </numFmts>
  <fonts count="20">
    <font>
      <sz val="11"/>
      <color theme="3" tint="0.14993743705557422"/>
      <name val="Avenir Next LT Pro Light"/>
      <family val="2"/>
      <scheme val="minor"/>
    </font>
    <font>
      <sz val="11"/>
      <color theme="1"/>
      <name val="Avenir Next LT Pro Light"/>
      <family val="2"/>
      <scheme val="minor"/>
    </font>
    <font>
      <sz val="11"/>
      <color theme="1"/>
      <name val="Avenir Next LT Pro Light"/>
      <family val="2"/>
      <scheme val="minor"/>
    </font>
    <font>
      <b/>
      <sz val="26"/>
      <color theme="3" tint="0.14996795556505021"/>
      <name val="Avenir Next LT Pro"/>
      <family val="2"/>
      <scheme val="major"/>
    </font>
    <font>
      <sz val="11"/>
      <color theme="3"/>
      <name val="Avenir Next LT Pro"/>
      <family val="2"/>
      <scheme val="major"/>
    </font>
    <font>
      <b/>
      <sz val="11"/>
      <color theme="1"/>
      <name val="Avenir Next LT Pro Light"/>
      <family val="2"/>
      <scheme val="minor"/>
    </font>
    <font>
      <sz val="11"/>
      <color theme="3"/>
      <name val="Avenir Next LT Pro Light"/>
      <family val="2"/>
      <scheme val="minor"/>
    </font>
    <font>
      <sz val="16"/>
      <color theme="4" tint="-0.499984740745262"/>
      <name val="Avenir Next LT Pro"/>
      <family val="2"/>
      <scheme val="major"/>
    </font>
    <font>
      <sz val="11"/>
      <color theme="3" tint="0.14993743705557422"/>
      <name val="Avenir Next LT Pro Light"/>
      <family val="2"/>
      <scheme val="minor"/>
    </font>
    <font>
      <sz val="11"/>
      <color theme="0"/>
      <name val="Avenir Next LT Pro Light"/>
      <family val="2"/>
      <scheme val="minor"/>
    </font>
    <font>
      <sz val="11"/>
      <color theme="0"/>
      <name val="Avenir Next LT Pro"/>
      <family val="2"/>
      <scheme val="major"/>
    </font>
    <font>
      <sz val="11"/>
      <color theme="4" tint="-0.499984740745262"/>
      <name val="Avenir Next LT Pro Light"/>
      <family val="2"/>
      <scheme val="minor"/>
    </font>
    <font>
      <sz val="11"/>
      <color theme="3" tint="0.14990691854609822"/>
      <name val="Avenir Next LT Pro Light"/>
      <family val="2"/>
      <scheme val="minor"/>
    </font>
    <font>
      <sz val="11"/>
      <color theme="3" tint="0.14993743705557422"/>
      <name val="Avenir Book"/>
      <family val="2"/>
    </font>
    <font>
      <sz val="11"/>
      <color theme="1"/>
      <name val="Avenir Book"/>
      <family val="2"/>
    </font>
    <font>
      <sz val="11"/>
      <color theme="3" tint="0.14993743705557422"/>
      <name val="Avenir Next LT Pro"/>
      <family val="2"/>
      <scheme val="major"/>
    </font>
    <font>
      <sz val="14"/>
      <color theme="6" tint="-0.499984740745262"/>
      <name val="Avenir Next LT Pro"/>
      <family val="2"/>
      <scheme val="major"/>
    </font>
    <font>
      <b/>
      <sz val="11"/>
      <color theme="3" tint="0.14993743705557422"/>
      <name val="Avenir Next LT Pro Light"/>
      <family val="2"/>
      <scheme val="minor"/>
    </font>
    <font>
      <b/>
      <sz val="50"/>
      <color theme="6" tint="-0.499984740745262"/>
      <name val="Avenir Next LT Pro"/>
      <family val="2"/>
      <scheme val="major"/>
    </font>
    <font>
      <sz val="11"/>
      <color rgb="FF262626"/>
      <name val="Avenir Next LT Pro Light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/>
      <top style="thin">
        <color theme="6" tint="-0.499984740745262"/>
      </top>
      <bottom/>
      <diagonal/>
    </border>
  </borders>
  <cellStyleXfs count="16">
    <xf numFmtId="0" fontId="0" fillId="0" borderId="0">
      <alignment vertical="center"/>
    </xf>
    <xf numFmtId="0" fontId="3" fillId="0" borderId="1" applyNumberFormat="0" applyFill="0" applyAlignment="0" applyProtection="0"/>
    <xf numFmtId="0" fontId="10" fillId="2" borderId="0" applyNumberFormat="0" applyProtection="0">
      <alignment horizontal="left" vertical="center" indent="1"/>
    </xf>
    <xf numFmtId="0" fontId="4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5" fillId="0" borderId="2" applyNumberFormat="0" applyFill="0" applyAlignment="0" applyProtection="0"/>
    <xf numFmtId="164" fontId="12" fillId="0" borderId="0">
      <alignment horizontal="center" vertical="center"/>
    </xf>
    <xf numFmtId="0" fontId="9" fillId="2" borderId="0" applyNumberFormat="0" applyProtection="0">
      <alignment horizontal="right" indent="1"/>
    </xf>
    <xf numFmtId="0" fontId="11" fillId="0" borderId="0" applyNumberFormat="0" applyProtection="0">
      <alignment horizontal="center"/>
    </xf>
    <xf numFmtId="0" fontId="11" fillId="0" borderId="0" applyNumberFormat="0" applyProtection="0">
      <alignment horizontal="center"/>
    </xf>
    <xf numFmtId="0" fontId="7" fillId="0" borderId="0" applyNumberFormat="0" applyFill="0" applyBorder="0" applyProtection="0">
      <alignment horizontal="left" vertical="top"/>
    </xf>
    <xf numFmtId="0" fontId="8" fillId="0" borderId="0">
      <alignment horizontal="left" vertical="center" wrapText="1" indent="1"/>
    </xf>
    <xf numFmtId="1" fontId="8" fillId="0" borderId="0">
      <alignment horizontal="center" vertical="center"/>
    </xf>
    <xf numFmtId="7" fontId="8" fillId="0" borderId="0">
      <alignment horizontal="right" vertical="center"/>
    </xf>
    <xf numFmtId="0" fontId="9" fillId="0" borderId="0" applyNumberFormat="0" applyFill="0" applyBorder="0">
      <alignment horizontal="center"/>
    </xf>
  </cellStyleXfs>
  <cellXfs count="20">
    <xf numFmtId="0" fontId="0" fillId="0" borderId="0" xfId="0">
      <alignment vertical="center"/>
    </xf>
    <xf numFmtId="0" fontId="13" fillId="0" borderId="0" xfId="0" applyFont="1">
      <alignment vertical="center"/>
    </xf>
    <xf numFmtId="0" fontId="0" fillId="3" borderId="0" xfId="0" applyFill="1" applyProtection="1">
      <alignment vertical="center"/>
      <protection locked="0"/>
    </xf>
    <xf numFmtId="0" fontId="3" fillId="3" borderId="3" xfId="1" applyFill="1" applyBorder="1" applyAlignment="1" applyProtection="1">
      <protection locked="0"/>
    </xf>
    <xf numFmtId="0" fontId="3" fillId="3" borderId="3" xfId="1" applyFill="1" applyBorder="1" applyAlignment="1" applyProtection="1">
      <alignment vertical="center"/>
      <protection locked="0"/>
    </xf>
    <xf numFmtId="0" fontId="15" fillId="3" borderId="0" xfId="0" applyFont="1" applyFill="1" applyProtection="1">
      <alignment vertical="center"/>
      <protection locked="0"/>
    </xf>
    <xf numFmtId="0" fontId="16" fillId="3" borderId="0" xfId="0" applyFont="1" applyFill="1" applyAlignment="1">
      <alignment horizontal="left" vertical="center" indent="1"/>
    </xf>
    <xf numFmtId="0" fontId="15" fillId="0" borderId="0" xfId="0" applyFont="1">
      <alignment vertical="center"/>
    </xf>
    <xf numFmtId="0" fontId="17" fillId="3" borderId="0" xfId="0" applyFont="1" applyFill="1" applyProtection="1">
      <alignment vertical="center"/>
      <protection locked="0"/>
    </xf>
    <xf numFmtId="0" fontId="17" fillId="0" borderId="0" xfId="0" applyFont="1">
      <alignment vertical="center"/>
    </xf>
    <xf numFmtId="7" fontId="16" fillId="3" borderId="4" xfId="3" applyNumberFormat="1" applyFont="1" applyFill="1" applyBorder="1" applyAlignment="1" applyProtection="1">
      <alignment horizontal="left" vertical="center" indent="1"/>
    </xf>
    <xf numFmtId="0" fontId="2" fillId="0" borderId="0" xfId="12" applyFont="1">
      <alignment horizontal="left" vertical="center" wrapText="1" indent="1"/>
    </xf>
    <xf numFmtId="1" fontId="2" fillId="0" borderId="0" xfId="13" applyFont="1">
      <alignment horizontal="center" vertical="center"/>
    </xf>
    <xf numFmtId="7" fontId="2" fillId="0" borderId="0" xfId="14" applyFont="1">
      <alignment horizontal="right" vertical="center"/>
    </xf>
    <xf numFmtId="164" fontId="14" fillId="0" borderId="0" xfId="7" applyFont="1">
      <alignment horizontal="center" vertical="center"/>
    </xf>
    <xf numFmtId="0" fontId="10" fillId="0" borderId="0" xfId="2" applyFill="1" applyProtection="1">
      <alignment horizontal="left" vertical="center" indent="1"/>
    </xf>
    <xf numFmtId="0" fontId="18" fillId="3" borderId="3" xfId="1" applyFont="1" applyFill="1" applyBorder="1" applyAlignment="1" applyProtection="1">
      <alignment horizontal="left" vertical="center"/>
      <protection locked="0"/>
    </xf>
    <xf numFmtId="1" fontId="1" fillId="0" borderId="0" xfId="13" applyFont="1">
      <alignment horizontal="center" vertical="center"/>
    </xf>
    <xf numFmtId="7" fontId="16" fillId="3" borderId="4" xfId="3" applyNumberFormat="1" applyFont="1" applyFill="1" applyBorder="1" applyAlignment="1" applyProtection="1">
      <alignment horizontal="right" vertical="center"/>
      <protection locked="0"/>
    </xf>
    <xf numFmtId="0" fontId="16" fillId="3" borderId="4" xfId="0" applyFont="1" applyFill="1" applyBorder="1" applyAlignment="1" applyProtection="1">
      <alignment horizontal="right" vertical="center" indent="1"/>
      <protection locked="0"/>
    </xf>
  </cellXfs>
  <cellStyles count="16">
    <cellStyle name="Flag Column" xfId="7" xr:uid="{00000000-0005-0000-0000-000000000000}"/>
    <cellStyle name="Followed Hyperlink" xfId="10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9" builtinId="8" customBuiltin="1"/>
    <cellStyle name="Linked Cell" xfId="8" builtinId="24" customBuiltin="1"/>
    <cellStyle name="Normal" xfId="0" builtinId="0" customBuiltin="1"/>
    <cellStyle name="Table details center aligned" xfId="13" xr:uid="{00000000-0005-0000-0000-000009000000}"/>
    <cellStyle name="Table details left aligned" xfId="12" xr:uid="{00000000-0005-0000-0000-00000A000000}"/>
    <cellStyle name="Table details right aligned" xfId="14" xr:uid="{00000000-0005-0000-0000-00000B000000}"/>
    <cellStyle name="Title" xfId="1" builtinId="15" customBuiltin="1"/>
    <cellStyle name="Total" xfId="6" builtinId="25" customBuiltin="1"/>
    <cellStyle name="Total counts" xfId="11" xr:uid="{00000000-0005-0000-0000-00000E000000}"/>
    <cellStyle name="zHide navigation link text" xfId="15" xr:uid="{00000000-0005-0000-0000-00000F000000}"/>
  </cellStyles>
  <dxfs count="23">
    <dxf>
      <font>
        <strike val="0"/>
        <outline val="0"/>
        <shadow val="0"/>
        <u val="none"/>
        <vertAlign val="baseline"/>
        <sz val="11"/>
        <color theme="1"/>
        <name val="Avenir Book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numFmt numFmtId="11" formatCode="&quot;$&quot;#,##0.00_);\(&quot;$&quot;#,##0.00\)"/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Next LT Pro Light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Book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venir Book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0"/>
        <name val="Avenir Next LT Pro"/>
        <family val="2"/>
        <scheme val="maj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  <protection locked="1" hidden="0"/>
    </dxf>
    <dxf>
      <fill>
        <patternFill>
          <bgColor theme="6" tint="0.59996337778862885"/>
        </patternFill>
      </fill>
    </dxf>
    <dxf>
      <fill>
        <patternFill>
          <bgColor theme="0"/>
        </patternFill>
      </fill>
    </dxf>
    <dxf>
      <font>
        <b val="0"/>
        <i val="0"/>
        <color theme="0"/>
      </font>
      <fill>
        <patternFill patternType="solid">
          <fgColor theme="6" tint="-0.499984740745262"/>
          <bgColor theme="6" tint="-0.499984740745262"/>
        </patternFill>
      </fill>
    </dxf>
    <dxf>
      <fill>
        <patternFill>
          <bgColor theme="6" tint="0.79998168889431442"/>
        </patternFill>
      </fill>
      <border diagonalUp="0" diagonalDown="0"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 style="thin">
          <color theme="6" tint="-0.499984740745262"/>
        </vertical>
        <horizontal/>
      </border>
    </dxf>
    <dxf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 patternType="solid">
          <fgColor theme="7" tint="-0.499984740745262"/>
          <bgColor theme="7" tint="-0.499984740745262"/>
        </patternFill>
      </fill>
    </dxf>
    <dxf>
      <fill>
        <patternFill>
          <bgColor theme="7" tint="0.79998168889431442"/>
        </patternFill>
      </fill>
      <border diagonalUp="0" diagonalDown="0">
        <left style="thin">
          <color theme="7" tint="-0.499984740745262"/>
        </left>
        <right style="thin">
          <color theme="7" tint="-0.499984740745262"/>
        </right>
        <top style="thin">
          <color theme="7" tint="-0.499984740745262"/>
        </top>
        <bottom style="thin">
          <color theme="7" tint="-0.499984740745262"/>
        </bottom>
        <vertical style="thin">
          <color theme="7" tint="-0.499984740745262"/>
        </vertical>
        <horizontal/>
      </border>
    </dxf>
    <dxf>
      <fill>
        <patternFill>
          <bgColor theme="9" tint="0.59996337778862885"/>
        </patternFill>
      </fill>
    </dxf>
    <dxf>
      <font>
        <b val="0"/>
        <i val="0"/>
        <color theme="0"/>
      </font>
      <fill>
        <patternFill patternType="solid">
          <fgColor theme="9" tint="-0.499984740745262"/>
          <bgColor theme="9" tint="-0.499984740745262"/>
        </patternFill>
      </fill>
    </dxf>
    <dxf>
      <fill>
        <patternFill>
          <bgColor theme="9" tint="0.79998168889431442"/>
        </patternFill>
      </fill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 style="thin">
          <color theme="9" tint="-0.499984740745262"/>
        </vertical>
        <horizontal/>
      </border>
    </dxf>
  </dxfs>
  <tableStyles count="3" defaultTableStyle="Warehouse Inventory" defaultPivotStyle="PivotStyleMedium2">
    <tableStyle name="Bin Lookup" pivot="0" count="3" xr9:uid="{1E3C31DD-E9A2-4A0A-A2FC-00B6076C5A12}">
      <tableStyleElement type="wholeTable" dxfId="22"/>
      <tableStyleElement type="headerRow" dxfId="21"/>
      <tableStyleElement type="secondRowStripe" dxfId="20"/>
    </tableStyle>
    <tableStyle name="Inventory Pick List" pivot="0" count="3" xr9:uid="{4DCDFD08-C196-4F17-8EF8-618A9CBE2507}">
      <tableStyleElement type="wholeTable" dxfId="19"/>
      <tableStyleElement type="headerRow" dxfId="18"/>
      <tableStyleElement type="secondRowStripe" dxfId="17"/>
    </tableStyle>
    <tableStyle name="Warehouse Inventory" pivot="0" count="4" xr9:uid="{00000000-0011-0000-FFFF-FFFF00000000}">
      <tableStyleElement type="wholeTable" dxfId="16"/>
      <tableStyleElement type="headerRow" dxfId="15"/>
      <tableStyleElement type="lastColumn" dxfId="14"/>
      <tableStyleElement type="secondRowStrip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Avenir Next LT Pro Light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1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Avenir Next LT Pro Light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262626"/>
                  </a:solidFill>
                  <a:latin typeface="Avenir Next LT Pro Light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ntoryList" displayName="InventoryList" ref="B3:K14" headerRowDxfId="12" dataDxfId="11" totalsRowDxfId="10" headerRowCellStyle="Heading 1">
  <autoFilter ref="B3:K14" xr:uid="{00000000-0009-0000-0100-000001000000}"/>
  <sortState xmlns:xlrd2="http://schemas.microsoft.com/office/spreadsheetml/2017/richdata2" ref="B4:K14">
    <sortCondition ref="B4:B14"/>
  </sortState>
  <tableColumns count="10">
    <tableColumn id="1" xr3:uid="{00000000-0010-0000-0000-000001000000}" name="SKU" totalsRowLabel="Totals" dataDxfId="9" dataCellStyle="Table details left aligned"/>
    <tableColumn id="2" xr3:uid="{00000000-0010-0000-0000-000002000000}" name="DESCRIPTION" dataDxfId="8" dataCellStyle="Table details left aligned"/>
    <tableColumn id="3" xr3:uid="{00000000-0010-0000-0000-000003000000}" name="BIN #" dataDxfId="7" dataCellStyle="Table details left aligned"/>
    <tableColumn id="4" xr3:uid="{00000000-0010-0000-0000-000004000000}" name="LOCATION" dataDxfId="6" dataCellStyle="Table details left aligned"/>
    <tableColumn id="5" xr3:uid="{00000000-0010-0000-0000-000005000000}" name="UNIT" dataDxfId="5" dataCellStyle="Table details left aligned"/>
    <tableColumn id="6" xr3:uid="{00000000-0010-0000-0000-000006000000}" name="QTY" dataDxfId="4" dataCellStyle="Table details center aligned"/>
    <tableColumn id="8" xr3:uid="{00000000-0010-0000-0000-000008000000}" name="REORDER QTY" dataDxfId="3" dataCellStyle="Table details center aligned"/>
    <tableColumn id="7" xr3:uid="{00000000-0010-0000-0000-000007000000}" name="COST" dataDxfId="2" dataCellStyle="Table details right aligned">
      <calculatedColumnFormula array="1">InventoryValue(G4, FI4)</calculatedColumnFormula>
    </tableColumn>
    <tableColumn id="10" xr3:uid="{00000000-0010-0000-0000-00000A000000}" name="INVENTORY VALUE" dataDxfId="1" dataCellStyle="Table details right aligned"/>
    <tableColumn id="9" xr3:uid="{00000000-0010-0000-0000-000009000000}" name="REORDER" dataDxfId="0" dataCellStyle="Flag Column"/>
  </tableColumns>
  <tableStyleInfo name="Warehouse Inventory" showFirstColumn="0" showLastColumn="0" showRowStripes="1" showColumnStripes="0"/>
  <extLst>
    <ext xmlns:x14="http://schemas.microsoft.com/office/spreadsheetml/2009/9/main" uri="{504A1905-F514-4f6f-8877-14C23A59335A}">
      <x14:table altTextSummary="List of inventory items and details such as SKU, description, bin number, location, unit, quantity, reorder quantity, cost, inventory value and reorder status"/>
    </ext>
  </extLst>
</table>
</file>

<file path=xl/theme/theme1.xml><?xml version="1.0" encoding="utf-8"?>
<a:theme xmlns:a="http://schemas.openxmlformats.org/drawingml/2006/main" name="Office Theme">
  <a:themeElements>
    <a:clrScheme name="Warehouse Inventory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DB068"/>
      </a:accent1>
      <a:accent2>
        <a:srgbClr val="E1C049"/>
      </a:accent2>
      <a:accent3>
        <a:srgbClr val="77CACD"/>
      </a:accent3>
      <a:accent4>
        <a:srgbClr val="EB862D"/>
      </a:accent4>
      <a:accent5>
        <a:srgbClr val="9062A7"/>
      </a:accent5>
      <a:accent6>
        <a:srgbClr val="EB8688"/>
      </a:accent6>
      <a:hlink>
        <a:srgbClr val="13CACD"/>
      </a:hlink>
      <a:folHlink>
        <a:srgbClr val="9062A7"/>
      </a:folHlink>
    </a:clrScheme>
    <a:fontScheme name="Custom 12">
      <a:majorFont>
        <a:latin typeface="Avenir Next LT Pro"/>
        <a:ea typeface=""/>
        <a:cs typeface=""/>
      </a:majorFont>
      <a:minorFont>
        <a:latin typeface="Avenir Next LT Pro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3-07-22T23:43:21.78" personId="{00000000-0000-0000-0000-000000000000}" id="{A95610B2-FAB9-45A4-879C-75B5E09D5C7F}">
    <text>Inventory based on values in column J</text>
  </threadedComment>
  <threadedComment ref="C3" dT="2023-07-22T23:47:40.25" personId="{00000000-0000-0000-0000-000000000000}" id="{09ED426E-388B-4723-BA33-A6370D8DFD04}">
    <text>Count of items in Column C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ventoryList">
    <tabColor theme="6" tint="-0.249977111117893"/>
    <pageSetUpPr autoPageBreaks="0" fitToPage="1"/>
  </sheetPr>
  <dimension ref="A1:V35"/>
  <sheetViews>
    <sheetView showGridLines="0" tabSelected="1" zoomScaleNormal="100" workbookViewId="0">
      <selection activeCell="J21" sqref="J21"/>
    </sheetView>
  </sheetViews>
  <sheetFormatPr defaultColWidth="8.875" defaultRowHeight="30" customHeight="1"/>
  <cols>
    <col min="1" max="1" width="5.5" customWidth="1"/>
    <col min="2" max="2" width="36.125" customWidth="1"/>
    <col min="3" max="3" width="25.625" customWidth="1"/>
    <col min="4" max="4" width="15.75" customWidth="1"/>
    <col min="5" max="5" width="16.5" customWidth="1"/>
    <col min="6" max="6" width="18" customWidth="1"/>
    <col min="7" max="7" width="10.5" customWidth="1"/>
    <col min="8" max="8" width="20.5" customWidth="1"/>
    <col min="9" max="9" width="13.375" customWidth="1"/>
    <col min="10" max="10" width="24.5" customWidth="1"/>
    <col min="11" max="11" width="15.5" customWidth="1"/>
    <col min="12" max="12" width="5.5" customWidth="1"/>
    <col min="13" max="13" width="16.125" customWidth="1"/>
    <col min="14" max="14" width="11.5" customWidth="1"/>
  </cols>
  <sheetData>
    <row r="1" spans="1:22" ht="90" customHeight="1">
      <c r="A1" s="2"/>
      <c r="B1" s="16" t="s">
        <v>11</v>
      </c>
      <c r="C1" s="3"/>
      <c r="D1" s="3"/>
      <c r="E1" s="4"/>
      <c r="F1" s="4"/>
      <c r="G1" s="4"/>
      <c r="H1" s="4"/>
      <c r="I1" s="4"/>
      <c r="J1" s="4"/>
      <c r="K1" s="4"/>
      <c r="L1" s="2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7" customFormat="1" ht="43.9" customHeight="1">
      <c r="A2" s="2"/>
      <c r="B2" s="10" t="s">
        <v>0</v>
      </c>
      <c r="C2" s="10">
        <f>SUM(InventoryList[INVENTORY VALUE])</f>
        <v>0</v>
      </c>
      <c r="D2" s="18" t="s">
        <v>12</v>
      </c>
      <c r="E2" s="18"/>
      <c r="F2" s="6">
        <f>COUNTA(InventoryList[DESCRIPTION])</f>
        <v>0</v>
      </c>
      <c r="G2" s="19" t="s">
        <v>13</v>
      </c>
      <c r="H2" s="19"/>
      <c r="I2" s="6" cm="1">
        <f t="array" ref="I2">SUMPRODUCT((1/COUNTIF(InventoryList[BIN '#],InventoryList[BIN '#]&amp;"")))</f>
        <v>1.0000000000000002</v>
      </c>
      <c r="J2" s="5"/>
      <c r="K2" s="5"/>
      <c r="L2" s="5"/>
    </row>
    <row r="3" spans="1:22" s="9" customFormat="1" ht="30" customHeight="1">
      <c r="A3" s="8"/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8"/>
    </row>
    <row r="4" spans="1:22" ht="30" customHeight="1">
      <c r="A4" s="2"/>
      <c r="B4" s="11"/>
      <c r="C4" s="11"/>
      <c r="D4" s="11"/>
      <c r="E4" s="11"/>
      <c r="F4" s="11"/>
      <c r="G4" s="12"/>
      <c r="H4" s="12"/>
      <c r="I4" s="13" cm="1">
        <f t="array" ref="I4">InventoryValue(G4, FI4)</f>
        <v>0</v>
      </c>
      <c r="J4" s="13"/>
      <c r="K4" s="14"/>
      <c r="L4" s="2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30" customHeight="1">
      <c r="A5" s="2"/>
      <c r="B5" s="11">
        <v>2000</v>
      </c>
      <c r="C5" s="11"/>
      <c r="D5" s="11"/>
      <c r="E5" s="11"/>
      <c r="F5" s="11"/>
      <c r="G5" s="12"/>
      <c r="H5" s="17"/>
      <c r="I5" s="13" cm="1">
        <f t="array" ref="I5">InventoryValue(G5, FI5)</f>
        <v>0</v>
      </c>
      <c r="J5" s="13"/>
      <c r="K5" s="14"/>
      <c r="L5" s="2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30" customHeight="1">
      <c r="A6" s="2"/>
      <c r="B6" s="11">
        <v>1000</v>
      </c>
      <c r="C6" s="11"/>
      <c r="D6" s="11"/>
      <c r="E6" s="11"/>
      <c r="F6" s="11"/>
      <c r="G6" s="12"/>
      <c r="H6" s="12"/>
      <c r="I6" s="13" cm="1">
        <f t="array" ref="I6">InventoryValue(G6, FI6)</f>
        <v>0</v>
      </c>
      <c r="J6" s="13"/>
      <c r="K6" s="14"/>
      <c r="L6" s="2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0" customHeight="1">
      <c r="A7" s="2"/>
      <c r="B7" s="11"/>
      <c r="C7" s="11"/>
      <c r="D7" s="11"/>
      <c r="E7" s="11"/>
      <c r="F7" s="11"/>
      <c r="G7" s="12"/>
      <c r="H7" s="12"/>
      <c r="I7" s="13" cm="1">
        <f t="array" ref="I7">InventoryValue(G7, FI7)</f>
        <v>0</v>
      </c>
      <c r="J7" s="13"/>
      <c r="K7" s="14"/>
      <c r="L7" s="2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30" customHeight="1">
      <c r="A8" s="2"/>
      <c r="B8" s="11"/>
      <c r="C8" s="11"/>
      <c r="D8" s="11"/>
      <c r="E8" s="11"/>
      <c r="F8" s="11"/>
      <c r="G8" s="12"/>
      <c r="H8" s="12"/>
      <c r="I8" s="13" cm="1">
        <f t="array" ref="I8">InventoryValue(G8, FI8)</f>
        <v>0</v>
      </c>
      <c r="J8" s="13"/>
      <c r="K8" s="14"/>
      <c r="L8" s="2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30" customHeight="1">
      <c r="A9" s="2"/>
      <c r="B9" s="11"/>
      <c r="C9" s="11"/>
      <c r="D9" s="11"/>
      <c r="E9" s="11"/>
      <c r="F9" s="11"/>
      <c r="G9" s="12"/>
      <c r="H9" s="12"/>
      <c r="I9" s="13" cm="1">
        <f t="array" ref="I9">InventoryValue(G9, FI9)</f>
        <v>0</v>
      </c>
      <c r="J9" s="13"/>
      <c r="K9" s="14"/>
      <c r="L9" s="2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30" customHeight="1">
      <c r="A10" s="2"/>
      <c r="B10" s="11"/>
      <c r="C10" s="11"/>
      <c r="D10" s="11"/>
      <c r="E10" s="11"/>
      <c r="F10" s="11"/>
      <c r="G10" s="12"/>
      <c r="H10" s="12"/>
      <c r="I10" s="13" cm="1">
        <f t="array" ref="I10">InventoryValue(G10, FI10)</f>
        <v>0</v>
      </c>
      <c r="J10" s="13"/>
      <c r="K10" s="14"/>
      <c r="L10" s="2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30" customHeight="1">
      <c r="A11" s="2"/>
      <c r="B11" s="11"/>
      <c r="C11" s="11"/>
      <c r="D11" s="11"/>
      <c r="E11" s="11"/>
      <c r="F11" s="11"/>
      <c r="G11" s="12"/>
      <c r="H11" s="12"/>
      <c r="I11" s="13" cm="1">
        <f t="array" ref="I11">InventoryValue(G11, FI11)</f>
        <v>0</v>
      </c>
      <c r="J11" s="13"/>
      <c r="K11" s="14"/>
      <c r="L11" s="2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30" customHeight="1">
      <c r="A12" s="2"/>
      <c r="B12" s="11"/>
      <c r="C12" s="11"/>
      <c r="D12" s="11"/>
      <c r="E12" s="11"/>
      <c r="F12" s="11"/>
      <c r="G12" s="12"/>
      <c r="H12" s="12"/>
      <c r="I12" s="13" cm="1">
        <f t="array" ref="I12">InventoryValue(G12, FI12)</f>
        <v>0</v>
      </c>
      <c r="J12" s="13"/>
      <c r="K12" s="14"/>
      <c r="L12" s="2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30" customHeight="1">
      <c r="A13" s="2"/>
      <c r="B13" s="11"/>
      <c r="C13" s="11"/>
      <c r="D13" s="11"/>
      <c r="E13" s="11"/>
      <c r="F13" s="11"/>
      <c r="G13" s="12"/>
      <c r="H13" s="12"/>
      <c r="I13" s="13" cm="1">
        <f t="array" ref="I13">InventoryValue(G13, FI13)</f>
        <v>0</v>
      </c>
      <c r="J13" s="13"/>
      <c r="K13" s="14"/>
      <c r="L13" s="2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ht="30" customHeight="1">
      <c r="A14" s="2"/>
      <c r="B14" s="11"/>
      <c r="C14" s="11"/>
      <c r="D14" s="11"/>
      <c r="E14" s="11"/>
      <c r="F14" s="11"/>
      <c r="G14" s="12"/>
      <c r="H14" s="12"/>
      <c r="I14" s="13" cm="1">
        <f t="array" ref="I14">InventoryValue(G14, FI14)</f>
        <v>0</v>
      </c>
      <c r="J14" s="13"/>
      <c r="K14" s="14"/>
      <c r="L14" s="2"/>
      <c r="M14" s="1"/>
      <c r="N14" s="1"/>
      <c r="O14" s="1"/>
      <c r="P14" s="1"/>
      <c r="Q14" s="1"/>
      <c r="R14" s="1"/>
      <c r="S14" s="1"/>
      <c r="T14" s="1"/>
      <c r="U14" s="1"/>
      <c r="V14" s="1"/>
    </row>
    <row r="15" spans="1:22" ht="30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22" ht="30" customHeight="1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  <row r="17" spans="2:22" ht="30" customHeight="1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2:22" ht="30" customHeight="1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19" spans="2:22" ht="30" customHeight="1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2:22" ht="30" customHeight="1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2:22" ht="30" customHeight="1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2:22" ht="30" customHeight="1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2:22" ht="30" customHeight="1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2:22" ht="30" customHeight="1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5" spans="2:22" ht="30" customHeight="1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</row>
    <row r="26" spans="2:22" ht="30" customHeight="1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2:22" ht="30" customHeight="1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2:22" ht="30" customHeight="1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2:22" ht="30" customHeight="1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2:22" ht="30" customHeight="1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2:22" ht="30" customHeight="1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2:22" ht="30" customHeight="1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2:22" ht="30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2:22" ht="30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2:22" ht="30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</sheetData>
  <sortState xmlns:xlrd2="http://schemas.microsoft.com/office/spreadsheetml/2017/richdata2" ref="A1:A35">
    <sortCondition ref="A1:A35"/>
  </sortState>
  <mergeCells count="2">
    <mergeCell ref="D2:E2"/>
    <mergeCell ref="G2:H2"/>
  </mergeCells>
  <printOptions horizontalCentered="1"/>
  <pageMargins left="0.25" right="0.25" top="0.75" bottom="0.75" header="0.3" footer="0.3"/>
  <pageSetup fitToHeight="0" orientation="landscape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2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nprotectWorkbook.UnprotectWorkbook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tectWorkbook.ProtectWorkbook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TM02930030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Inventory list</vt:lpstr>
      <vt:lpstr>ColumnTitle1</vt:lpstr>
      <vt:lpstr>'Inventory list'!Print_Titles</vt:lpstr>
      <vt:lpstr>SKULookup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2023-07-22T23:45:34Z</dcterms:created>
  <dcterms:modified xsi:type="dcterms:W3CDTF">2023-07-23T00:00:29Z</dcterms:modified>
</cp:coreProperties>
</file>