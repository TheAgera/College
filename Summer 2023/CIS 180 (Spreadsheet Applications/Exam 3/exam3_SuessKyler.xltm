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eag\Desktop\College\Summer 2023\CIS 180 (Spreadsheet Applications\Exam 3\"/>
    </mc:Choice>
  </mc:AlternateContent>
  <xr:revisionPtr revIDLastSave="0" documentId="8_{AF3225FD-4AB9-46F0-BE48-F28E8B280978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Current" sheetId="2" r:id="rId1"/>
    <sheet name="2nd Location" sheetId="1" r:id="rId2"/>
    <sheet name="Scenario Summary" sheetId="4" r:id="rId3"/>
  </sheets>
  <definedNames>
    <definedName name="_xlnm._FilterDatabase" localSheetId="0" hidden="1">Current!$A$5:$H$25</definedName>
    <definedName name="_xlnm.Criteria" localSheetId="0">Current!$K$10:$K$11</definedName>
    <definedName name="_xlnm.Extract" localSheetId="0">Current!$A$29:$H$29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" i="1" l="1"/>
  <c r="C19" i="1"/>
  <c r="D19" i="1"/>
  <c r="G19" i="1" s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B14" i="1"/>
  <c r="C14" i="1"/>
  <c r="D14" i="1"/>
  <c r="E14" i="1" s="1"/>
  <c r="F14" i="1" s="1"/>
  <c r="H14" i="1" s="1"/>
  <c r="C15" i="1"/>
  <c r="C16" i="1"/>
  <c r="C17" i="1"/>
  <c r="C18" i="1"/>
  <c r="B13" i="1"/>
  <c r="D13" i="1" s="1"/>
  <c r="C13" i="1"/>
  <c r="D12" i="1"/>
  <c r="G12" i="1" s="1"/>
  <c r="C12" i="1"/>
  <c r="B12" i="1"/>
  <c r="K21" i="2"/>
  <c r="K20" i="2"/>
  <c r="K19" i="2"/>
  <c r="K18" i="2"/>
  <c r="K17" i="2"/>
  <c r="K16" i="2"/>
  <c r="K15" i="2"/>
  <c r="K14" i="2"/>
  <c r="K7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6" i="2"/>
  <c r="E19" i="1" l="1"/>
  <c r="F19" i="1" s="1"/>
  <c r="G14" i="1"/>
  <c r="B15" i="1"/>
  <c r="D15" i="1" s="1"/>
  <c r="G15" i="1" s="1"/>
  <c r="E13" i="1"/>
  <c r="F13" i="1" s="1"/>
  <c r="H13" i="1" s="1"/>
  <c r="G13" i="1"/>
  <c r="E12" i="1"/>
  <c r="F12" i="1" s="1"/>
  <c r="H12" i="1" s="1"/>
  <c r="E8" i="1"/>
  <c r="E7" i="1"/>
  <c r="H19" i="1" l="1"/>
  <c r="B20" i="1"/>
  <c r="D20" i="1" s="1"/>
  <c r="E15" i="1"/>
  <c r="F15" i="1" s="1"/>
  <c r="B6" i="1"/>
  <c r="E20" i="1" l="1"/>
  <c r="F20" i="1" s="1"/>
  <c r="G20" i="1"/>
  <c r="H15" i="1"/>
  <c r="B16" i="1"/>
  <c r="D16" i="1" s="1"/>
  <c r="H20" i="1" l="1"/>
  <c r="B21" i="1"/>
  <c r="G16" i="1"/>
  <c r="E16" i="1"/>
  <c r="D21" i="1" l="1"/>
  <c r="F16" i="1"/>
  <c r="G21" i="1" l="1"/>
  <c r="E21" i="1"/>
  <c r="F21" i="1" s="1"/>
  <c r="H16" i="1"/>
  <c r="B17" i="1"/>
  <c r="D17" i="1" s="1"/>
  <c r="H21" i="1" l="1"/>
  <c r="B22" i="1"/>
  <c r="D22" i="1" s="1"/>
  <c r="G17" i="1"/>
  <c r="E17" i="1"/>
  <c r="E22" i="1" l="1"/>
  <c r="F22" i="1" s="1"/>
  <c r="G22" i="1"/>
  <c r="F17" i="1"/>
  <c r="H22" i="1" l="1"/>
  <c r="B23" i="1"/>
  <c r="D23" i="1" s="1"/>
  <c r="H17" i="1"/>
  <c r="B18" i="1"/>
  <c r="D18" i="1" s="1"/>
  <c r="E23" i="1" l="1"/>
  <c r="F23" i="1" s="1"/>
  <c r="G23" i="1"/>
  <c r="E18" i="1"/>
  <c r="G18" i="1"/>
  <c r="H23" i="1" l="1"/>
  <c r="B24" i="1"/>
  <c r="D24" i="1" s="1"/>
  <c r="F18" i="1"/>
  <c r="H18" i="1" s="1"/>
  <c r="G24" i="1" l="1"/>
  <c r="E24" i="1"/>
  <c r="F24" i="1" l="1"/>
  <c r="H24" i="1" l="1"/>
  <c r="B25" i="1"/>
  <c r="D25" i="1" l="1"/>
  <c r="E25" i="1" l="1"/>
  <c r="G25" i="1"/>
  <c r="F25" i="1" l="1"/>
  <c r="H25" i="1" l="1"/>
  <c r="B26" i="1"/>
  <c r="D26" i="1" s="1"/>
  <c r="G26" i="1" l="1"/>
  <c r="E26" i="1"/>
  <c r="F26" i="1" l="1"/>
  <c r="H26" i="1" l="1"/>
  <c r="B27" i="1"/>
  <c r="D27" i="1" s="1"/>
  <c r="G27" i="1" l="1"/>
  <c r="E27" i="1"/>
  <c r="F27" i="1" l="1"/>
  <c r="H27" i="1" l="1"/>
  <c r="B28" i="1"/>
  <c r="D28" i="1" s="1"/>
  <c r="E28" i="1" l="1"/>
  <c r="G28" i="1"/>
  <c r="F28" i="1" l="1"/>
  <c r="H28" i="1" l="1"/>
  <c r="B29" i="1"/>
  <c r="D29" i="1" l="1"/>
  <c r="G29" i="1" l="1"/>
  <c r="E29" i="1"/>
  <c r="F29" i="1" s="1"/>
  <c r="H29" i="1" l="1"/>
  <c r="B30" i="1"/>
  <c r="D30" i="1" s="1"/>
  <c r="E30" i="1" l="1"/>
  <c r="F30" i="1" s="1"/>
  <c r="G30" i="1"/>
  <c r="H30" i="1" l="1"/>
  <c r="B31" i="1"/>
  <c r="D31" i="1" s="1"/>
  <c r="E31" i="1" l="1"/>
  <c r="F31" i="1" s="1"/>
  <c r="G31" i="1"/>
  <c r="H31" i="1" l="1"/>
  <c r="B32" i="1"/>
  <c r="D32" i="1" s="1"/>
  <c r="G32" i="1" l="1"/>
  <c r="E32" i="1"/>
  <c r="F32" i="1" s="1"/>
  <c r="H32" i="1" l="1"/>
  <c r="B33" i="1"/>
  <c r="D33" i="1" l="1"/>
  <c r="E33" i="1" l="1"/>
  <c r="F33" i="1" s="1"/>
  <c r="G33" i="1"/>
  <c r="H33" i="1" l="1"/>
  <c r="B34" i="1"/>
  <c r="D34" i="1" s="1"/>
  <c r="G34" i="1" l="1"/>
  <c r="E34" i="1"/>
  <c r="F34" i="1" s="1"/>
  <c r="H34" i="1" l="1"/>
  <c r="B35" i="1"/>
  <c r="D35" i="1" s="1"/>
  <c r="E35" i="1" l="1"/>
  <c r="F35" i="1" s="1"/>
  <c r="G35" i="1"/>
  <c r="H35" i="1" l="1"/>
  <c r="B36" i="1"/>
  <c r="D36" i="1" s="1"/>
  <c r="E36" i="1" l="1"/>
  <c r="F36" i="1" s="1"/>
  <c r="G36" i="1"/>
  <c r="H36" i="1" l="1"/>
  <c r="B37" i="1"/>
  <c r="D37" i="1" l="1"/>
  <c r="G37" i="1" l="1"/>
  <c r="E37" i="1"/>
  <c r="F37" i="1" s="1"/>
  <c r="H37" i="1" l="1"/>
  <c r="B38" i="1"/>
  <c r="D38" i="1" s="1"/>
  <c r="E38" i="1" l="1"/>
  <c r="F38" i="1" s="1"/>
  <c r="G38" i="1"/>
  <c r="H38" i="1" l="1"/>
  <c r="B39" i="1"/>
  <c r="D39" i="1" s="1"/>
  <c r="E39" i="1" l="1"/>
  <c r="F39" i="1" s="1"/>
  <c r="G39" i="1"/>
  <c r="H39" i="1" l="1"/>
  <c r="B40" i="1"/>
  <c r="D40" i="1" s="1"/>
  <c r="G40" i="1" l="1"/>
  <c r="E40" i="1"/>
  <c r="F40" i="1" s="1"/>
  <c r="H40" i="1" l="1"/>
  <c r="B41" i="1"/>
  <c r="D41" i="1" l="1"/>
  <c r="E41" i="1" l="1"/>
  <c r="F41" i="1" s="1"/>
  <c r="G41" i="1"/>
  <c r="H41" i="1" l="1"/>
  <c r="B42" i="1"/>
  <c r="D42" i="1" l="1"/>
  <c r="G42" i="1" l="1"/>
  <c r="E42" i="1"/>
  <c r="F42" i="1" s="1"/>
  <c r="B43" i="1" l="1"/>
  <c r="D43" i="1" s="1"/>
  <c r="H42" i="1"/>
  <c r="E43" i="1" l="1"/>
  <c r="F43" i="1" s="1"/>
  <c r="G43" i="1"/>
  <c r="H43" i="1" l="1"/>
  <c r="B44" i="1"/>
  <c r="D44" i="1" s="1"/>
  <c r="E44" i="1" l="1"/>
  <c r="F44" i="1" s="1"/>
  <c r="G44" i="1"/>
  <c r="H44" i="1" l="1"/>
  <c r="B45" i="1"/>
  <c r="D45" i="1" l="1"/>
  <c r="G45" i="1" l="1"/>
  <c r="E45" i="1"/>
  <c r="F45" i="1" s="1"/>
  <c r="H45" i="1" l="1"/>
  <c r="B46" i="1"/>
  <c r="D46" i="1" s="1"/>
  <c r="E46" i="1" l="1"/>
  <c r="F46" i="1" s="1"/>
  <c r="G46" i="1"/>
  <c r="H46" i="1" l="1"/>
  <c r="B47" i="1"/>
  <c r="D47" i="1" l="1"/>
  <c r="E47" i="1" l="1"/>
  <c r="F47" i="1" s="1"/>
  <c r="G47" i="1"/>
  <c r="B48" i="1" l="1"/>
  <c r="D48" i="1" s="1"/>
  <c r="H47" i="1"/>
  <c r="G48" i="1" l="1"/>
  <c r="E48" i="1"/>
  <c r="F48" i="1" s="1"/>
  <c r="H48" i="1" l="1"/>
  <c r="B49" i="1"/>
  <c r="D49" i="1" s="1"/>
  <c r="E49" i="1" l="1"/>
  <c r="F49" i="1" s="1"/>
  <c r="G49" i="1"/>
  <c r="H49" i="1" l="1"/>
  <c r="B50" i="1"/>
  <c r="D50" i="1" l="1"/>
  <c r="G50" i="1" l="1"/>
  <c r="E50" i="1"/>
  <c r="F50" i="1" s="1"/>
  <c r="B51" i="1" l="1"/>
  <c r="D51" i="1" s="1"/>
  <c r="H50" i="1"/>
  <c r="E51" i="1" l="1"/>
  <c r="F51" i="1" s="1"/>
  <c r="G51" i="1"/>
  <c r="H51" i="1" l="1"/>
  <c r="B52" i="1"/>
  <c r="D52" i="1" s="1"/>
  <c r="E52" i="1" l="1"/>
  <c r="F52" i="1" s="1"/>
  <c r="G52" i="1"/>
  <c r="H52" i="1" l="1"/>
  <c r="B53" i="1"/>
  <c r="D53" i="1" l="1"/>
  <c r="G53" i="1" l="1"/>
  <c r="E53" i="1"/>
  <c r="F53" i="1" s="1"/>
  <c r="H53" i="1" l="1"/>
  <c r="B54" i="1"/>
  <c r="D54" i="1" s="1"/>
  <c r="E54" i="1" l="1"/>
  <c r="F54" i="1" s="1"/>
  <c r="G54" i="1"/>
  <c r="H54" i="1" l="1"/>
  <c r="B55" i="1"/>
  <c r="D55" i="1" l="1"/>
  <c r="E55" i="1" l="1"/>
  <c r="F55" i="1" s="1"/>
  <c r="G55" i="1"/>
  <c r="B56" i="1" l="1"/>
  <c r="D56" i="1" s="1"/>
  <c r="H55" i="1"/>
  <c r="G56" i="1" l="1"/>
  <c r="E56" i="1"/>
  <c r="F56" i="1" s="1"/>
  <c r="H56" i="1" l="1"/>
  <c r="B57" i="1"/>
  <c r="D57" i="1" l="1"/>
  <c r="E57" i="1" l="1"/>
  <c r="F57" i="1" s="1"/>
  <c r="G57" i="1"/>
  <c r="H57" i="1" l="1"/>
  <c r="B58" i="1"/>
  <c r="D58" i="1" l="1"/>
  <c r="G58" i="1" l="1"/>
  <c r="E58" i="1"/>
  <c r="F58" i="1" s="1"/>
  <c r="H58" i="1" l="1"/>
  <c r="B59" i="1"/>
  <c r="D59" i="1" s="1"/>
  <c r="E59" i="1" l="1"/>
  <c r="F59" i="1" s="1"/>
  <c r="G59" i="1"/>
  <c r="H59" i="1" l="1"/>
  <c r="B60" i="1"/>
  <c r="D60" i="1" s="1"/>
  <c r="G60" i="1" l="1"/>
  <c r="E60" i="1"/>
  <c r="F60" i="1" s="1"/>
  <c r="H60" i="1" l="1"/>
  <c r="B61" i="1"/>
  <c r="D61" i="1" l="1"/>
  <c r="G61" i="1" l="1"/>
  <c r="E61" i="1"/>
  <c r="F61" i="1" s="1"/>
  <c r="H61" i="1" l="1"/>
  <c r="B62" i="1"/>
  <c r="D62" i="1" s="1"/>
  <c r="E62" i="1" l="1"/>
  <c r="F62" i="1" s="1"/>
  <c r="G62" i="1"/>
  <c r="H62" i="1" l="1"/>
  <c r="B63" i="1"/>
  <c r="D63" i="1" l="1"/>
  <c r="E63" i="1" l="1"/>
  <c r="F63" i="1" s="1"/>
  <c r="G63" i="1"/>
  <c r="H63" i="1" l="1"/>
  <c r="B64" i="1"/>
  <c r="D64" i="1" s="1"/>
  <c r="G64" i="1" l="1"/>
  <c r="E64" i="1"/>
  <c r="F64" i="1" s="1"/>
  <c r="H64" i="1" l="1"/>
  <c r="B65" i="1"/>
  <c r="D65" i="1" l="1"/>
  <c r="E65" i="1" l="1"/>
  <c r="F65" i="1" s="1"/>
  <c r="G65" i="1"/>
  <c r="H65" i="1" l="1"/>
  <c r="B66" i="1"/>
  <c r="D66" i="1" l="1"/>
  <c r="E66" i="1" l="1"/>
  <c r="F66" i="1" s="1"/>
  <c r="G66" i="1"/>
  <c r="B67" i="1" l="1"/>
  <c r="D67" i="1" s="1"/>
  <c r="H66" i="1"/>
  <c r="E67" i="1" l="1"/>
  <c r="F67" i="1" s="1"/>
  <c r="G67" i="1"/>
  <c r="H67" i="1" l="1"/>
  <c r="B68" i="1"/>
  <c r="D68" i="1" s="1"/>
  <c r="E68" i="1" l="1"/>
  <c r="F68" i="1" s="1"/>
  <c r="G68" i="1"/>
  <c r="H68" i="1" l="1"/>
  <c r="B69" i="1"/>
  <c r="D69" i="1" l="1"/>
  <c r="G69" i="1" l="1"/>
  <c r="E69" i="1"/>
  <c r="F69" i="1" s="1"/>
  <c r="H69" i="1" l="1"/>
  <c r="B70" i="1"/>
  <c r="D70" i="1" s="1"/>
  <c r="E70" i="1" l="1"/>
  <c r="F70" i="1" s="1"/>
  <c r="G70" i="1"/>
  <c r="H70" i="1" l="1"/>
  <c r="B71" i="1"/>
  <c r="D71" i="1" l="1"/>
  <c r="G71" i="1" l="1"/>
  <c r="E71" i="1"/>
  <c r="D72" i="1"/>
  <c r="E72" i="1" l="1"/>
  <c r="F71" i="1"/>
  <c r="H71" i="1" s="1"/>
</calcChain>
</file>

<file path=xl/sharedStrings.xml><?xml version="1.0" encoding="utf-8"?>
<sst xmlns="http://schemas.openxmlformats.org/spreadsheetml/2006/main" count="170" uniqueCount="100">
  <si>
    <t>Payment Details</t>
  </si>
  <si>
    <t>Loan Details</t>
  </si>
  <si>
    <t>Payment</t>
  </si>
  <si>
    <t>Loan</t>
  </si>
  <si>
    <t>APR</t>
  </si>
  <si>
    <t>Periodic Rate</t>
  </si>
  <si>
    <t>Years</t>
  </si>
  <si>
    <t># of Payments</t>
  </si>
  <si>
    <t>Pmts per Year</t>
  </si>
  <si>
    <t>Payment Number</t>
  </si>
  <si>
    <t>Beginning Balance</t>
  </si>
  <si>
    <t>Payment Amount</t>
  </si>
  <si>
    <t>Interest Paid</t>
  </si>
  <si>
    <t>Principal Repayment</t>
  </si>
  <si>
    <t>Remaining Balance</t>
  </si>
  <si>
    <t>Cumulative Interest</t>
  </si>
  <si>
    <t>Cumulative Principal</t>
  </si>
  <si>
    <t>Totals</t>
  </si>
  <si>
    <t>Employee_ID</t>
  </si>
  <si>
    <t>First_Name</t>
  </si>
  <si>
    <t>Last_Name</t>
  </si>
  <si>
    <t>Dependents</t>
  </si>
  <si>
    <t>Salary</t>
  </si>
  <si>
    <t>Barbara</t>
  </si>
  <si>
    <t>Vicki</t>
  </si>
  <si>
    <t>Smith</t>
  </si>
  <si>
    <t>Employee Lookup</t>
  </si>
  <si>
    <t>Filter</t>
  </si>
  <si>
    <t>Start_Date</t>
  </si>
  <si>
    <t>A Step Up Construction</t>
  </si>
  <si>
    <t xml:space="preserve">Current Employees </t>
  </si>
  <si>
    <t>Bonus</t>
  </si>
  <si>
    <t>Bonus Eligible</t>
  </si>
  <si>
    <t>Lorenz</t>
  </si>
  <si>
    <t>Richards</t>
  </si>
  <si>
    <t>Sullivan</t>
  </si>
  <si>
    <t>Stanley</t>
  </si>
  <si>
    <t>Kirchfeld</t>
  </si>
  <si>
    <t>Kantner</t>
  </si>
  <si>
    <t>Hammer</t>
  </si>
  <si>
    <t>Cherry</t>
  </si>
  <si>
    <t>Babson</t>
  </si>
  <si>
    <t>Michaels</t>
  </si>
  <si>
    <t>Gonzales</t>
  </si>
  <si>
    <t>Vale</t>
  </si>
  <si>
    <t>Goldberg</t>
  </si>
  <si>
    <t>Mitchell</t>
  </si>
  <si>
    <t>Ryenich</t>
  </si>
  <si>
    <t>Manning</t>
  </si>
  <si>
    <t>Baker</t>
  </si>
  <si>
    <t>Jones</t>
  </si>
  <si>
    <t>Churchfeld</t>
  </si>
  <si>
    <t>Mary</t>
  </si>
  <si>
    <t>Victoria</t>
  </si>
  <si>
    <t>Michael</t>
  </si>
  <si>
    <t>Phillip</t>
  </si>
  <si>
    <t>Eugene</t>
  </si>
  <si>
    <t>Patty</t>
  </si>
  <si>
    <t>Betty</t>
  </si>
  <si>
    <t>Michelle</t>
  </si>
  <si>
    <t>Joan</t>
  </si>
  <si>
    <t>Jeffrey</t>
  </si>
  <si>
    <t>Luis</t>
  </si>
  <si>
    <t>Russell</t>
  </si>
  <si>
    <t>Tony</t>
  </si>
  <si>
    <t>Marge</t>
  </si>
  <si>
    <t>Bobby</t>
  </si>
  <si>
    <t>Christina</t>
  </si>
  <si>
    <t>Davig</t>
  </si>
  <si>
    <t>Henry</t>
  </si>
  <si>
    <t>Degree</t>
  </si>
  <si>
    <t>Total No Salaries</t>
  </si>
  <si>
    <t># NO</t>
  </si>
  <si>
    <t># YES</t>
  </si>
  <si>
    <t>Average No Salary</t>
  </si>
  <si>
    <t>Highest No Salary</t>
  </si>
  <si>
    <t>Total Yes Salaries</t>
  </si>
  <si>
    <t>Average Yes Salary</t>
  </si>
  <si>
    <t>Highest Yes Salary</t>
  </si>
  <si>
    <t>Education Statistics</t>
  </si>
  <si>
    <t>Secondary Location Amortization Table</t>
  </si>
  <si>
    <t>YES</t>
  </si>
  <si>
    <t>NO</t>
  </si>
  <si>
    <t>Employees with Degree</t>
  </si>
  <si>
    <t>Y</t>
  </si>
  <si>
    <t>N</t>
  </si>
  <si>
    <t>$B$7</t>
  </si>
  <si>
    <t>$B$8</t>
  </si>
  <si>
    <t>Good</t>
  </si>
  <si>
    <t>Created by kyler suess on 7/23/2023</t>
  </si>
  <si>
    <t>Most Likely</t>
  </si>
  <si>
    <t>Bad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</si>
  <si>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</si>
  <si>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</si>
  <si>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</si>
  <si>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</si>
  <si>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</si>
  <si>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</si>
  <si>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</si>
  <si>
    <t>$B$6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</si>
</sst>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%"/>
    <numFmt numFmtId="165" formatCode="_(* #,##0_);_(* \(#,##0\);_(* &quot;-&quot;??_);_(@_)"/>
    <numFmt numFmtId="166" formatCode="&quot;$&quot;#,##0.00"/>
  </numFmts>
  <fonts count="20" x14ac:knownFonts="1">
    <font>
      <sz val="11"/>
      <color theme="1"/>
      <name val="Rockwell"/>
      <family val="2"/>
      <scheme val="minor"/>
    </font>
    <font>
      <sz val="11"/>
      <color theme="1"/>
      <name val="Rockwell"/>
      <family val="2"/>
      <scheme val="minor"/>
    </font>
    <font>
      <sz val="11"/>
      <color theme="0"/>
      <name val="Rockwell"/>
      <family val="2"/>
      <scheme val="minor"/>
    </font>
    <font>
      <b/>
      <sz val="15"/>
      <color theme="3"/>
      <name val="Rockwell"/>
      <family val="2"/>
      <scheme val="minor"/>
    </font>
    <font>
      <b/>
      <sz val="13"/>
      <color theme="3"/>
      <name val="Rockwell"/>
      <family val="2"/>
      <scheme val="minor"/>
    </font>
    <font>
      <b/>
      <sz val="15"/>
      <color theme="0"/>
      <name val="Verdana"/>
      <family val="2"/>
    </font>
    <font>
      <b/>
      <sz val="14"/>
      <color theme="0"/>
      <name val="Verdana"/>
      <family val="2"/>
    </font>
    <font>
      <sz val="11"/>
      <color theme="1"/>
      <name val="Verdana"/>
      <family val="2"/>
    </font>
    <font>
      <sz val="11"/>
      <color theme="0"/>
      <name val="Verdana"/>
      <family val="2"/>
    </font>
    <font>
      <b/>
      <sz val="13"/>
      <color theme="0"/>
      <name val="Verdana"/>
      <family val="2"/>
    </font>
    <font>
      <b/>
      <sz val="11"/>
      <color theme="0"/>
      <name val="Verdana"/>
      <family val="2"/>
    </font>
    <font>
      <b/>
      <sz val="12"/>
      <color theme="0"/>
      <name val="Verdana"/>
      <family val="2"/>
    </font>
    <font>
      <sz val="12"/>
      <color theme="1"/>
      <name val="Verdana"/>
      <family val="2"/>
    </font>
    <font>
      <sz val="12"/>
      <color theme="0"/>
      <name val="Verdana"/>
      <family val="2"/>
    </font>
    <font>
      <b/>
      <sz val="12"/>
      <color indexed="9"/>
      <name val="Rockwell"/>
      <family val="2"/>
      <scheme val="minor"/>
    </font>
    <font>
      <b/>
      <sz val="11"/>
      <color indexed="8"/>
      <name val="Rockwell"/>
      <family val="2"/>
      <scheme val="minor"/>
    </font>
    <font>
      <b/>
      <sz val="11"/>
      <color indexed="18"/>
      <name val="Rockwell"/>
      <family val="2"/>
      <scheme val="minor"/>
    </font>
    <font>
      <sz val="10"/>
      <color indexed="9"/>
      <name val="Rockwell"/>
      <family val="2"/>
      <scheme val="minor"/>
    </font>
    <font>
      <sz val="8"/>
      <color theme="1"/>
      <name val="Rockwell"/>
      <family val="1"/>
      <scheme val="minor"/>
    </font>
    <font>
      <sz val="11"/>
      <color rgb="FF000000"/>
      <name val="Rockwell"/>
      <family val="1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002060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3" fillId="0" borderId="5" applyNumberFormat="0" applyFill="0" applyAlignment="0" applyProtection="0"/>
    <xf numFmtId="0" fontId="4" fillId="0" borderId="6" applyNumberFormat="0" applyFill="0" applyAlignment="0" applyProtection="0"/>
  </cellStyleXfs>
  <cellXfs count="54">
    <xf numFmtId="0" fontId="0" fillId="0" borderId="0" xfId="0"/>
    <xf numFmtId="0" fontId="4" fillId="3" borderId="6" xfId="10" applyFill="1" applyAlignment="1">
      <alignment horizontal="center"/>
    </xf>
    <xf numFmtId="0" fontId="5" fillId="3" borderId="5" xfId="9" applyFont="1" applyFill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5" applyFont="1"/>
    <xf numFmtId="0" fontId="8" fillId="0" borderId="0" xfId="4" applyFont="1" applyFill="1" applyAlignment="1">
      <alignment horizontal="center"/>
    </xf>
    <xf numFmtId="0" fontId="9" fillId="3" borderId="6" xfId="10" applyFont="1" applyFill="1" applyAlignment="1">
      <alignment horizontal="center"/>
    </xf>
    <xf numFmtId="0" fontId="7" fillId="0" borderId="0" xfId="4" applyFont="1" applyFill="1" applyAlignment="1">
      <alignment horizontal="center"/>
    </xf>
    <xf numFmtId="8" fontId="7" fillId="0" borderId="0" xfId="2" applyNumberFormat="1" applyFont="1"/>
    <xf numFmtId="8" fontId="7" fillId="0" borderId="0" xfId="6" applyNumberFormat="1" applyFont="1"/>
    <xf numFmtId="164" fontId="7" fillId="0" borderId="0" xfId="3" applyNumberFormat="1" applyFont="1"/>
    <xf numFmtId="10" fontId="7" fillId="0" borderId="0" xfId="7" applyNumberFormat="1" applyFont="1"/>
    <xf numFmtId="165" fontId="7" fillId="0" borderId="0" xfId="8" applyNumberFormat="1" applyFont="1"/>
    <xf numFmtId="165" fontId="7" fillId="0" borderId="0" xfId="1" applyNumberFormat="1" applyFont="1"/>
    <xf numFmtId="0" fontId="7" fillId="0" borderId="0" xfId="0" applyFont="1"/>
    <xf numFmtId="0" fontId="10" fillId="3" borderId="4" xfId="0" applyFont="1" applyFill="1" applyBorder="1" applyAlignment="1">
      <alignment horizontal="center" wrapText="1"/>
    </xf>
    <xf numFmtId="0" fontId="7" fillId="0" borderId="0" xfId="0" applyFont="1" applyAlignment="1">
      <alignment horizontal="center"/>
    </xf>
    <xf numFmtId="166" fontId="7" fillId="0" borderId="0" xfId="2" applyNumberFormat="1" applyFont="1"/>
    <xf numFmtId="166" fontId="7" fillId="0" borderId="0" xfId="6" applyNumberFormat="1" applyFont="1"/>
    <xf numFmtId="166" fontId="7" fillId="0" borderId="0" xfId="0" applyNumberFormat="1" applyFont="1"/>
    <xf numFmtId="166" fontId="7" fillId="0" borderId="1" xfId="2" applyNumberFormat="1" applyFont="1" applyBorder="1"/>
    <xf numFmtId="0" fontId="12" fillId="0" borderId="0" xfId="0" applyFont="1"/>
    <xf numFmtId="0" fontId="11" fillId="3" borderId="6" xfId="10" applyFont="1" applyFill="1" applyAlignment="1">
      <alignment horizontal="center"/>
    </xf>
    <xf numFmtId="14" fontId="12" fillId="0" borderId="0" xfId="0" applyNumberFormat="1" applyFont="1"/>
    <xf numFmtId="0" fontId="13" fillId="3" borderId="4" xfId="0" applyFont="1" applyFill="1" applyBorder="1" applyAlignment="1">
      <alignment horizontal="center"/>
    </xf>
    <xf numFmtId="0" fontId="11" fillId="3" borderId="3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44" fontId="12" fillId="0" borderId="0" xfId="2" applyFont="1" applyAlignment="1">
      <alignment horizontal="center"/>
    </xf>
    <xf numFmtId="0" fontId="12" fillId="0" borderId="2" xfId="0" applyFont="1" applyBorder="1"/>
    <xf numFmtId="0" fontId="11" fillId="3" borderId="0" xfId="0" applyFont="1" applyFill="1"/>
    <xf numFmtId="0" fontId="12" fillId="0" borderId="2" xfId="0" applyFont="1" applyBorder="1" applyAlignment="1">
      <alignment horizontal="center"/>
    </xf>
    <xf numFmtId="0" fontId="11" fillId="3" borderId="0" xfId="0" applyFont="1" applyFill="1" applyAlignment="1">
      <alignment horizontal="center"/>
    </xf>
    <xf numFmtId="0" fontId="12" fillId="0" borderId="3" xfId="0" applyFont="1" applyBorder="1" applyAlignment="1">
      <alignment horizontal="center"/>
    </xf>
    <xf numFmtId="14" fontId="12" fillId="0" borderId="3" xfId="0" applyNumberFormat="1" applyFont="1" applyBorder="1" applyAlignment="1">
      <alignment horizontal="center"/>
    </xf>
    <xf numFmtId="44" fontId="12" fillId="0" borderId="3" xfId="2" applyFont="1" applyBorder="1" applyAlignment="1">
      <alignment horizontal="center"/>
    </xf>
    <xf numFmtId="166" fontId="12" fillId="0" borderId="0" xfId="0" applyNumberFormat="1" applyFont="1"/>
    <xf numFmtId="10" fontId="0" fillId="0" borderId="0" xfId="0" applyNumberFormat="1"/>
    <xf numFmtId="165" fontId="0" fillId="0" borderId="0" xfId="0" applyNumberFormat="1"/>
    <xf numFmtId="0" fontId="14" fillId="4" borderId="3" xfId="0" applyFont="1" applyFill="1" applyBorder="1" applyAlignment="1">
      <alignment horizontal="left"/>
    </xf>
    <xf numFmtId="0" fontId="14" fillId="4" borderId="7" xfId="0" applyFont="1" applyFill="1" applyBorder="1" applyAlignment="1">
      <alignment horizontal="left"/>
    </xf>
    <xf numFmtId="0" fontId="0" fillId="0" borderId="9" xfId="0" applyBorder="1"/>
    <xf numFmtId="0" fontId="15" fillId="5" borderId="0" xfId="0" applyFont="1" applyFill="1" applyAlignment="1">
      <alignment horizontal="left"/>
    </xf>
    <xf numFmtId="0" fontId="16" fillId="5" borderId="9" xfId="0" applyFont="1" applyFill="1" applyBorder="1" applyAlignment="1">
      <alignment horizontal="left"/>
    </xf>
    <xf numFmtId="0" fontId="15" fillId="5" borderId="8" xfId="0" applyFont="1" applyFill="1" applyBorder="1" applyAlignment="1">
      <alignment horizontal="left"/>
    </xf>
    <xf numFmtId="0" fontId="17" fillId="4" borderId="7" xfId="0" applyFont="1" applyFill="1" applyBorder="1" applyAlignment="1">
      <alignment horizontal="right"/>
    </xf>
    <xf numFmtId="0" fontId="17" fillId="4" borderId="3" xfId="0" applyFont="1" applyFill="1" applyBorder="1" applyAlignment="1">
      <alignment horizontal="right"/>
    </xf>
    <xf numFmtId="10" fontId="0" fillId="6" borderId="0" xfId="0" applyNumberFormat="1" applyFill="1"/>
    <xf numFmtId="165" fontId="0" fillId="6" borderId="0" xfId="0" applyNumberFormat="1" applyFill="1"/>
    <xf numFmtId="0" fontId="18" fillId="0" borderId="0" xfId="0" applyFont="1" applyAlignment="1">
      <alignment vertical="top" wrapText="1"/>
    </xf>
    <xf numFmtId="8" fontId="0" fillId="0" borderId="8" xfId="0" applyNumberFormat="1" applyBorder="1"/>
    <xf numFmtId="166" fontId="7" fillId="0" borderId="0" xfId="5" applyNumberFormat="1" applyFont="1"/>
    <xf numFmtId="0" fontId="11" fillId="3" borderId="0" xfId="9" applyFont="1" applyFill="1" applyBorder="1" applyAlignment="1">
      <alignment horizontal="center"/>
    </xf>
    <xf numFmtId="0" fontId="7" fillId="0" borderId="0" xfId="0" applyFont="1" applyAlignment="1">
      <alignment horizontal="center"/>
    </xf>
  </cellXfs>
  <cellStyles count="11">
    <cellStyle name="8h27r784UonNcDOJB6wPoxIzApNlC38eMSE+q+dF5KI=-~u6gZ8Uj9/PCrD1T9EUTO9Q==" xfId="8" xr:uid="{00000000-0005-0000-0000-000000000000}"/>
    <cellStyle name="9G/Pxn3O/cuZeIBULVji3dKciLwKqOGPOqsSBKf7+aA=-~LKR7VILUmeXor6Oc7ieA8g==" xfId="6" xr:uid="{00000000-0005-0000-0000-000001000000}"/>
    <cellStyle name="Accent1" xfId="4" builtinId="29"/>
    <cellStyle name="Comma" xfId="1" builtinId="3"/>
    <cellStyle name="Currency" xfId="2" builtinId="4"/>
    <cellStyle name="Heading 1" xfId="9" builtinId="16"/>
    <cellStyle name="Heading 2" xfId="10" builtinId="17"/>
    <cellStyle name="Normal" xfId="0" builtinId="0"/>
    <cellStyle name="pcm57vc09FPamr6XBWqRX1nuup5Bl1Xp1tBw2keNPdY=-~MSqEWMyRq5gLOEhUEGLMxg==" xfId="7" xr:uid="{00000000-0005-0000-0000-000008000000}"/>
    <cellStyle name="Percent" xfId="3" builtinId="5"/>
    <cellStyle name="xJN7iOaB/fdVZ6zPgDiHpHO5tU6orjJ4f4poVzeknmQ=-~PvdzIGn7mj/9GBu+qCoHLA==" xfId="5" xr:uid="{00000000-0005-0000-0000-00000A000000}"/>
  </cellStyles>
  <dxfs count="1">
    <dxf>
      <font>
        <color theme="4" tint="-0.499984740745262"/>
      </font>
      <fill>
        <patternFill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10</xdr:col>
          <xdr:colOff>0</xdr:colOff>
          <xdr:row>1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Rockwel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Atlas">
  <a:themeElements>
    <a:clrScheme name="Atlas">
      <a:dk1>
        <a:sysClr val="windowText" lastClr="000000"/>
      </a:dk1>
      <a:lt1>
        <a:sysClr val="window" lastClr="FFFFFF"/>
      </a:lt1>
      <a:dk2>
        <a:srgbClr val="454545"/>
      </a:dk2>
      <a:lt2>
        <a:srgbClr val="E0E0E0"/>
      </a:lt2>
      <a:accent1>
        <a:srgbClr val="F81B02"/>
      </a:accent1>
      <a:accent2>
        <a:srgbClr val="FC7715"/>
      </a:accent2>
      <a:accent3>
        <a:srgbClr val="AFBF41"/>
      </a:accent3>
      <a:accent4>
        <a:srgbClr val="50C49F"/>
      </a:accent4>
      <a:accent5>
        <a:srgbClr val="3B95C4"/>
      </a:accent5>
      <a:accent6>
        <a:srgbClr val="B560D4"/>
      </a:accent6>
      <a:hlink>
        <a:srgbClr val="FC5A1A"/>
      </a:hlink>
      <a:folHlink>
        <a:srgbClr val="B49E74"/>
      </a:folHlink>
    </a:clrScheme>
    <a:fontScheme name="Atlas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Rockwell" panose="020606030202050204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Atlas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alpha val="60000"/>
                <a:satMod val="109000"/>
                <a:lumMod val="110000"/>
              </a:schemeClr>
            </a:gs>
            <a:gs pos="100000">
              <a:schemeClr val="phClr">
                <a:tint val="78000"/>
                <a:alpha val="92000"/>
                <a:satMod val="109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satMod val="110000"/>
                <a:lumMod val="104000"/>
              </a:schemeClr>
            </a:gs>
            <a:gs pos="69000">
              <a:schemeClr val="phClr">
                <a:shade val="84000"/>
                <a:satMod val="130000"/>
                <a:lumMod val="92000"/>
              </a:schemeClr>
            </a:gs>
            <a:gs pos="100000">
              <a:schemeClr val="phClr">
                <a:shade val="76000"/>
                <a:satMod val="130000"/>
                <a:lumMod val="88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>
              <a:shade val="90000"/>
            </a:schemeClr>
          </a:solidFill>
          <a:prstDash val="solid"/>
        </a:ln>
        <a:ln w="15875" cap="flat" cmpd="sng" algn="ctr">
          <a:solidFill>
            <a:schemeClr val="phClr">
              <a:shade val="9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38100" dist="25400" dir="5400000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>
            <a:bevelT w="0" h="0"/>
          </a:sp3d>
        </a:effectStyle>
      </a:effectStyleLst>
      <a:bgFillStyleLst>
        <a:solidFill>
          <a:schemeClr val="phClr"/>
        </a:solidFill>
        <a:solidFill>
          <a:schemeClr val="phClr"/>
        </a:solidFill>
        <a:gradFill rotWithShape="1">
          <a:gsLst>
            <a:gs pos="10000">
              <a:schemeClr val="phClr">
                <a:tint val="94000"/>
                <a:lumMod val="116000"/>
              </a:schemeClr>
            </a:gs>
            <a:gs pos="100000">
              <a:schemeClr val="phClr">
                <a:tint val="98000"/>
                <a:shade val="86000"/>
                <a:satMod val="90000"/>
                <a:lumMod val="88000"/>
              </a:schemeClr>
            </a:gs>
          </a:gsLst>
          <a:path path="circle">
            <a:fillToRect l="50000" t="15000" r="50000" b="169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Atlas" id="{5156B0E4-0EB1-49FE-A26B-15F6F698AEC6}" vid="{508F7963-D0B5-43F7-BB2C-FCE3009C08EC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Q38"/>
  <sheetViews>
    <sheetView tabSelected="1" topLeftCell="A4" zoomScale="115" zoomScaleNormal="115" workbookViewId="0">
      <selection activeCell="B24" sqref="B24"/>
    </sheetView>
  </sheetViews>
  <sheetFormatPr defaultRowHeight="15" x14ac:dyDescent="0.2"/>
  <cols>
    <col min="1" max="1" width="46.125" style="21" customWidth="1"/>
    <col min="2" max="2" width="13.875" style="21" customWidth="1"/>
    <col min="3" max="3" width="12.5" style="21" customWidth="1"/>
    <col min="4" max="4" width="13" style="21" customWidth="1"/>
    <col min="5" max="5" width="9.625" style="21" customWidth="1"/>
    <col min="6" max="6" width="13" style="21" customWidth="1"/>
    <col min="7" max="7" width="14.5" style="21" customWidth="1"/>
    <col min="8" max="8" width="15.625" style="21" customWidth="1"/>
    <col min="9" max="9" width="3" style="21" customWidth="1"/>
    <col min="10" max="10" width="21.25" style="21" customWidth="1"/>
    <col min="11" max="11" width="15" style="21" bestFit="1" customWidth="1"/>
    <col min="12" max="12" width="14.625" style="21" customWidth="1"/>
    <col min="13" max="13" width="6.25" style="21" customWidth="1"/>
    <col min="14" max="16" width="9" style="21"/>
    <col min="17" max="17" width="10.25" style="21" customWidth="1"/>
    <col min="18" max="16384" width="9" style="21"/>
  </cols>
  <sheetData>
    <row r="1" spans="1:17" x14ac:dyDescent="0.2">
      <c r="A1" s="52" t="s">
        <v>29</v>
      </c>
      <c r="B1" s="52"/>
      <c r="C1" s="52"/>
      <c r="D1" s="52"/>
      <c r="E1" s="52"/>
      <c r="F1" s="52"/>
      <c r="G1" s="52"/>
      <c r="H1" s="52"/>
    </row>
    <row r="3" spans="1:17" ht="15.75" thickBot="1" x14ac:dyDescent="0.25">
      <c r="A3" s="22" t="s">
        <v>30</v>
      </c>
      <c r="B3" s="22"/>
      <c r="C3" s="22"/>
      <c r="D3" s="22"/>
      <c r="G3" s="21" t="s">
        <v>31</v>
      </c>
      <c r="H3" s="23">
        <v>43635</v>
      </c>
    </row>
    <row r="4" spans="1:17" ht="16.5" thickTop="1" thickBot="1" x14ac:dyDescent="0.25">
      <c r="Q4" s="23"/>
    </row>
    <row r="5" spans="1:17" ht="15.75" thickBot="1" x14ac:dyDescent="0.25">
      <c r="A5" s="24" t="s">
        <v>18</v>
      </c>
      <c r="B5" s="24" t="s">
        <v>28</v>
      </c>
      <c r="C5" s="24" t="s">
        <v>19</v>
      </c>
      <c r="D5" s="24" t="s">
        <v>20</v>
      </c>
      <c r="E5" s="24" t="s">
        <v>70</v>
      </c>
      <c r="F5" s="24" t="s">
        <v>21</v>
      </c>
      <c r="G5" s="24" t="s">
        <v>32</v>
      </c>
      <c r="H5" s="24" t="s">
        <v>22</v>
      </c>
      <c r="J5" s="25" t="s">
        <v>26</v>
      </c>
      <c r="K5" s="25"/>
    </row>
    <row r="6" spans="1:17" x14ac:dyDescent="0.2">
      <c r="A6" s="26">
        <v>28253</v>
      </c>
      <c r="B6" s="27">
        <v>42767</v>
      </c>
      <c r="C6" s="26" t="s">
        <v>52</v>
      </c>
      <c r="D6" s="26" t="s">
        <v>25</v>
      </c>
      <c r="E6" s="26" t="s">
        <v>81</v>
      </c>
      <c r="F6" s="26">
        <v>1</v>
      </c>
      <c r="G6" s="26" t="str">
        <f>IF(AND(E6="YES", B6&lt;DATE(2019, 6, 19)), "Y", "N")</f>
        <v>Y</v>
      </c>
      <c r="H6" s="28">
        <v>85000</v>
      </c>
      <c r="J6" s="29" t="s">
        <v>18</v>
      </c>
      <c r="K6" s="29" t="s">
        <v>20</v>
      </c>
    </row>
    <row r="7" spans="1:17" x14ac:dyDescent="0.2">
      <c r="A7" s="26">
        <v>30261</v>
      </c>
      <c r="B7" s="27">
        <v>44062</v>
      </c>
      <c r="C7" s="26" t="s">
        <v>53</v>
      </c>
      <c r="D7" s="26" t="s">
        <v>33</v>
      </c>
      <c r="E7" s="26" t="s">
        <v>81</v>
      </c>
      <c r="F7" s="26">
        <v>4</v>
      </c>
      <c r="G7" s="26" t="str">
        <f t="shared" ref="G7:G25" si="0">IF(AND(E7="YES", B7&lt;DATE(2019, 6, 19)), "Y", "N")</f>
        <v>N</v>
      </c>
      <c r="H7" s="28">
        <v>65500</v>
      </c>
      <c r="J7" s="21">
        <v>90871</v>
      </c>
      <c r="K7" s="21" t="str">
        <f>INDEX(B6:H25, MATCH(J7, A6:A25, 0), MATCH(K6, B5:H5, 0))</f>
        <v>Baker</v>
      </c>
    </row>
    <row r="8" spans="1:17" x14ac:dyDescent="0.2">
      <c r="A8" s="26">
        <v>31428</v>
      </c>
      <c r="B8" s="27">
        <v>42743</v>
      </c>
      <c r="C8" s="26" t="s">
        <v>54</v>
      </c>
      <c r="D8" s="26" t="s">
        <v>34</v>
      </c>
      <c r="E8" s="26" t="s">
        <v>81</v>
      </c>
      <c r="F8" s="26">
        <v>0</v>
      </c>
      <c r="G8" s="26" t="str">
        <f t="shared" si="0"/>
        <v>Y</v>
      </c>
      <c r="H8" s="28">
        <v>95000</v>
      </c>
    </row>
    <row r="9" spans="1:17" x14ac:dyDescent="0.2">
      <c r="A9" s="26">
        <v>31461</v>
      </c>
      <c r="B9" s="27">
        <v>42768</v>
      </c>
      <c r="C9" s="26" t="s">
        <v>23</v>
      </c>
      <c r="D9" s="26" t="s">
        <v>35</v>
      </c>
      <c r="E9" s="26" t="s">
        <v>81</v>
      </c>
      <c r="F9" s="26">
        <v>3</v>
      </c>
      <c r="G9" s="26" t="str">
        <f t="shared" si="0"/>
        <v>Y</v>
      </c>
      <c r="H9" s="28">
        <v>85000</v>
      </c>
      <c r="J9" s="30" t="s">
        <v>26</v>
      </c>
      <c r="K9" s="30" t="s">
        <v>27</v>
      </c>
    </row>
    <row r="10" spans="1:17" x14ac:dyDescent="0.2">
      <c r="A10" s="26">
        <v>39948</v>
      </c>
      <c r="B10" s="27">
        <v>43950</v>
      </c>
      <c r="C10" s="26" t="s">
        <v>55</v>
      </c>
      <c r="D10" s="26" t="s">
        <v>36</v>
      </c>
      <c r="E10" s="26" t="s">
        <v>81</v>
      </c>
      <c r="F10" s="26">
        <v>0</v>
      </c>
      <c r="G10" s="26" t="str">
        <f t="shared" si="0"/>
        <v>N</v>
      </c>
      <c r="H10" s="28">
        <v>95000</v>
      </c>
      <c r="J10" s="29" t="s">
        <v>18</v>
      </c>
      <c r="K10" s="31" t="s">
        <v>70</v>
      </c>
      <c r="L10" s="29" t="s">
        <v>21</v>
      </c>
      <c r="M10" s="29" t="s">
        <v>22</v>
      </c>
    </row>
    <row r="11" spans="1:17" x14ac:dyDescent="0.2">
      <c r="A11" s="26">
        <v>40499</v>
      </c>
      <c r="B11" s="27">
        <v>43486</v>
      </c>
      <c r="C11" s="26" t="s">
        <v>56</v>
      </c>
      <c r="D11" s="26" t="s">
        <v>37</v>
      </c>
      <c r="E11" s="26" t="s">
        <v>82</v>
      </c>
      <c r="F11" s="26">
        <v>2</v>
      </c>
      <c r="G11" s="26" t="str">
        <f t="shared" si="0"/>
        <v>N</v>
      </c>
      <c r="H11" s="28">
        <v>18864</v>
      </c>
      <c r="K11" s="21" t="s">
        <v>81</v>
      </c>
    </row>
    <row r="12" spans="1:17" x14ac:dyDescent="0.2">
      <c r="A12" s="26">
        <v>40725</v>
      </c>
      <c r="B12" s="27">
        <v>44317</v>
      </c>
      <c r="C12" s="26" t="s">
        <v>57</v>
      </c>
      <c r="D12" s="26" t="s">
        <v>38</v>
      </c>
      <c r="E12" s="26" t="s">
        <v>82</v>
      </c>
      <c r="F12" s="26">
        <v>3</v>
      </c>
      <c r="G12" s="26" t="str">
        <f t="shared" si="0"/>
        <v>N</v>
      </c>
      <c r="H12" s="28">
        <v>23722</v>
      </c>
    </row>
    <row r="13" spans="1:17" x14ac:dyDescent="0.2">
      <c r="A13" s="26">
        <v>42988</v>
      </c>
      <c r="B13" s="27">
        <v>43128</v>
      </c>
      <c r="C13" s="26" t="s">
        <v>58</v>
      </c>
      <c r="D13" s="26" t="s">
        <v>39</v>
      </c>
      <c r="E13" s="26" t="s">
        <v>82</v>
      </c>
      <c r="F13" s="26">
        <v>0</v>
      </c>
      <c r="G13" s="26" t="str">
        <f t="shared" si="0"/>
        <v>N</v>
      </c>
      <c r="H13" s="28">
        <v>15550</v>
      </c>
      <c r="J13" s="32" t="s">
        <v>79</v>
      </c>
      <c r="K13" s="32"/>
      <c r="L13" s="32"/>
    </row>
    <row r="14" spans="1:17" x14ac:dyDescent="0.2">
      <c r="A14" s="26">
        <v>43482</v>
      </c>
      <c r="B14" s="27">
        <v>43463</v>
      </c>
      <c r="C14" s="26" t="s">
        <v>59</v>
      </c>
      <c r="D14" s="26" t="s">
        <v>40</v>
      </c>
      <c r="E14" s="26" t="s">
        <v>82</v>
      </c>
      <c r="F14" s="26">
        <v>4</v>
      </c>
      <c r="G14" s="26" t="str">
        <f t="shared" si="0"/>
        <v>N</v>
      </c>
      <c r="H14" s="28">
        <v>19542</v>
      </c>
      <c r="J14" s="21" t="s">
        <v>72</v>
      </c>
      <c r="K14" s="21">
        <f>COUNTIF(E6:E25, "NO")</f>
        <v>11</v>
      </c>
    </row>
    <row r="15" spans="1:17" x14ac:dyDescent="0.2">
      <c r="A15" s="26">
        <v>46274</v>
      </c>
      <c r="B15" s="27">
        <v>44118</v>
      </c>
      <c r="C15" s="26" t="s">
        <v>60</v>
      </c>
      <c r="D15" s="26" t="s">
        <v>41</v>
      </c>
      <c r="E15" s="26" t="s">
        <v>81</v>
      </c>
      <c r="F15" s="26">
        <v>1</v>
      </c>
      <c r="G15" s="26" t="str">
        <f t="shared" si="0"/>
        <v>N</v>
      </c>
      <c r="H15" s="28">
        <v>68540</v>
      </c>
      <c r="J15" s="21" t="s">
        <v>71</v>
      </c>
      <c r="K15" s="36">
        <f>SUMIF(E6:E25, "NO", H6:H25)</f>
        <v>193437</v>
      </c>
    </row>
    <row r="16" spans="1:17" x14ac:dyDescent="0.2">
      <c r="A16" s="26">
        <v>56768</v>
      </c>
      <c r="B16" s="27">
        <v>43986</v>
      </c>
      <c r="C16" s="26" t="s">
        <v>61</v>
      </c>
      <c r="D16" s="26" t="s">
        <v>42</v>
      </c>
      <c r="E16" s="26" t="s">
        <v>82</v>
      </c>
      <c r="F16" s="26">
        <v>3</v>
      </c>
      <c r="G16" s="26" t="str">
        <f t="shared" si="0"/>
        <v>N</v>
      </c>
      <c r="H16" s="28">
        <v>12654</v>
      </c>
      <c r="J16" s="21" t="s">
        <v>74</v>
      </c>
      <c r="K16" s="36">
        <f>AVERAGEIF(E6:E25, "NO", H6:H25)</f>
        <v>17585.18181818182</v>
      </c>
    </row>
    <row r="17" spans="1:11" x14ac:dyDescent="0.2">
      <c r="A17" s="26">
        <v>64401</v>
      </c>
      <c r="B17" s="27">
        <v>43266</v>
      </c>
      <c r="C17" s="26" t="s">
        <v>62</v>
      </c>
      <c r="D17" s="26" t="s">
        <v>43</v>
      </c>
      <c r="E17" s="26" t="s">
        <v>82</v>
      </c>
      <c r="F17" s="26">
        <v>0</v>
      </c>
      <c r="G17" s="26" t="str">
        <f t="shared" si="0"/>
        <v>N</v>
      </c>
      <c r="H17" s="28">
        <v>21550</v>
      </c>
      <c r="J17" s="21" t="s">
        <v>75</v>
      </c>
      <c r="K17" s="36">
        <f>_xlfn.MAXIFS(H6:H25, E6:E25, "NO")</f>
        <v>24905</v>
      </c>
    </row>
    <row r="18" spans="1:11" x14ac:dyDescent="0.2">
      <c r="A18" s="26">
        <v>65030</v>
      </c>
      <c r="B18" s="27">
        <v>44503</v>
      </c>
      <c r="C18" s="26" t="s">
        <v>24</v>
      </c>
      <c r="D18" s="26" t="s">
        <v>44</v>
      </c>
      <c r="E18" s="26" t="s">
        <v>82</v>
      </c>
      <c r="F18" s="26">
        <v>3</v>
      </c>
      <c r="G18" s="26" t="str">
        <f t="shared" si="0"/>
        <v>N</v>
      </c>
      <c r="H18" s="28">
        <v>10354</v>
      </c>
      <c r="J18" s="21" t="s">
        <v>73</v>
      </c>
      <c r="K18" s="21">
        <f>COUNTIF(E6:E25, "YES")</f>
        <v>9</v>
      </c>
    </row>
    <row r="19" spans="1:11" x14ac:dyDescent="0.2">
      <c r="A19" s="26">
        <v>72922</v>
      </c>
      <c r="B19" s="27">
        <v>44545</v>
      </c>
      <c r="C19" s="26" t="s">
        <v>63</v>
      </c>
      <c r="D19" s="26" t="s">
        <v>45</v>
      </c>
      <c r="E19" s="26" t="s">
        <v>82</v>
      </c>
      <c r="F19" s="26">
        <v>4</v>
      </c>
      <c r="G19" s="26" t="str">
        <f t="shared" si="0"/>
        <v>N</v>
      </c>
      <c r="H19" s="28">
        <v>11049</v>
      </c>
      <c r="J19" s="21" t="s">
        <v>76</v>
      </c>
      <c r="K19" s="36">
        <f>SUMIF(E6:E25, "YES", H6:H25)</f>
        <v>735632</v>
      </c>
    </row>
    <row r="20" spans="1:11" x14ac:dyDescent="0.2">
      <c r="A20" s="26">
        <v>79886</v>
      </c>
      <c r="B20" s="27">
        <v>43615</v>
      </c>
      <c r="C20" s="26" t="s">
        <v>64</v>
      </c>
      <c r="D20" s="26" t="s">
        <v>46</v>
      </c>
      <c r="E20" s="26" t="s">
        <v>81</v>
      </c>
      <c r="F20" s="26">
        <v>3</v>
      </c>
      <c r="G20" s="26" t="str">
        <f t="shared" si="0"/>
        <v>Y</v>
      </c>
      <c r="H20" s="28">
        <v>85450</v>
      </c>
      <c r="J20" s="21" t="s">
        <v>77</v>
      </c>
      <c r="K20" s="36">
        <f>AVERAGEIF(E6:E25, "YES", H6:H25)</f>
        <v>81736.888888888891</v>
      </c>
    </row>
    <row r="21" spans="1:11" x14ac:dyDescent="0.2">
      <c r="A21" s="26">
        <v>80087</v>
      </c>
      <c r="B21" s="27">
        <v>43844</v>
      </c>
      <c r="C21" s="26" t="s">
        <v>65</v>
      </c>
      <c r="D21" s="26" t="s">
        <v>47</v>
      </c>
      <c r="E21" s="26" t="s">
        <v>81</v>
      </c>
      <c r="F21" s="26">
        <v>4</v>
      </c>
      <c r="G21" s="26" t="str">
        <f t="shared" si="0"/>
        <v>N</v>
      </c>
      <c r="H21" s="28">
        <v>90542</v>
      </c>
      <c r="J21" s="21" t="s">
        <v>78</v>
      </c>
      <c r="K21" s="36">
        <f>_xlfn.MAXIFS(H6:H25, E6:E25, "YES")</f>
        <v>95000</v>
      </c>
    </row>
    <row r="22" spans="1:11" x14ac:dyDescent="0.2">
      <c r="A22" s="26">
        <v>88696</v>
      </c>
      <c r="B22" s="27">
        <v>44172</v>
      </c>
      <c r="C22" s="26" t="s">
        <v>66</v>
      </c>
      <c r="D22" s="26" t="s">
        <v>48</v>
      </c>
      <c r="E22" s="26" t="s">
        <v>82</v>
      </c>
      <c r="F22" s="26">
        <v>3</v>
      </c>
      <c r="G22" s="26" t="str">
        <f t="shared" si="0"/>
        <v>N</v>
      </c>
      <c r="H22" s="28">
        <v>23142</v>
      </c>
    </row>
    <row r="23" spans="1:11" x14ac:dyDescent="0.2">
      <c r="A23" s="26">
        <v>90871</v>
      </c>
      <c r="B23" s="27">
        <v>43496</v>
      </c>
      <c r="C23" s="26" t="s">
        <v>67</v>
      </c>
      <c r="D23" s="26" t="s">
        <v>49</v>
      </c>
      <c r="E23" s="26" t="s">
        <v>82</v>
      </c>
      <c r="F23" s="26">
        <v>3</v>
      </c>
      <c r="G23" s="26" t="str">
        <f t="shared" si="0"/>
        <v>N</v>
      </c>
      <c r="H23" s="28">
        <v>12105</v>
      </c>
    </row>
    <row r="24" spans="1:11" x14ac:dyDescent="0.2">
      <c r="A24" s="26">
        <v>98065</v>
      </c>
      <c r="B24" s="27">
        <v>43203</v>
      </c>
      <c r="C24" s="26" t="s">
        <v>68</v>
      </c>
      <c r="D24" s="26" t="s">
        <v>50</v>
      </c>
      <c r="E24" s="26" t="s">
        <v>82</v>
      </c>
      <c r="F24" s="26">
        <v>0</v>
      </c>
      <c r="G24" s="26" t="str">
        <f t="shared" si="0"/>
        <v>N</v>
      </c>
      <c r="H24" s="28">
        <v>24905</v>
      </c>
    </row>
    <row r="25" spans="1:11" x14ac:dyDescent="0.2">
      <c r="A25" s="33">
        <v>98674</v>
      </c>
      <c r="B25" s="34">
        <v>43219</v>
      </c>
      <c r="C25" s="33" t="s">
        <v>69</v>
      </c>
      <c r="D25" s="33" t="s">
        <v>51</v>
      </c>
      <c r="E25" s="33" t="s">
        <v>81</v>
      </c>
      <c r="F25" s="33">
        <v>3</v>
      </c>
      <c r="G25" s="26" t="str">
        <f t="shared" si="0"/>
        <v>Y</v>
      </c>
      <c r="H25" s="35">
        <v>65600</v>
      </c>
    </row>
    <row r="28" spans="1:11" ht="15.75" thickBot="1" x14ac:dyDescent="0.25">
      <c r="A28" s="22" t="s">
        <v>83</v>
      </c>
      <c r="B28" s="22"/>
      <c r="C28" s="22"/>
      <c r="D28" s="22"/>
    </row>
    <row r="29" spans="1:11" ht="16.5" thickTop="1" thickBot="1" x14ac:dyDescent="0.25">
      <c r="A29" s="24" t="s">
        <v>18</v>
      </c>
      <c r="B29" s="24" t="s">
        <v>28</v>
      </c>
      <c r="C29" s="24" t="s">
        <v>19</v>
      </c>
      <c r="D29" s="24" t="s">
        <v>20</v>
      </c>
      <c r="E29" s="24" t="s">
        <v>70</v>
      </c>
      <c r="F29" s="24" t="s">
        <v>21</v>
      </c>
      <c r="G29" s="24" t="s">
        <v>32</v>
      </c>
      <c r="H29" s="24" t="s">
        <v>22</v>
      </c>
    </row>
    <row r="30" spans="1:11" x14ac:dyDescent="0.2">
      <c r="A30" s="26">
        <v>31461</v>
      </c>
      <c r="B30" s="27">
        <v>42767</v>
      </c>
      <c r="C30" s="26" t="s">
        <v>52</v>
      </c>
      <c r="D30" s="26" t="s">
        <v>25</v>
      </c>
      <c r="E30" s="26" t="s">
        <v>81</v>
      </c>
      <c r="F30" s="26">
        <v>1</v>
      </c>
      <c r="G30" s="26" t="s">
        <v>84</v>
      </c>
      <c r="H30" s="28">
        <v>85000</v>
      </c>
    </row>
    <row r="31" spans="1:11" x14ac:dyDescent="0.2">
      <c r="A31" s="26">
        <v>56768</v>
      </c>
      <c r="B31" s="27">
        <v>44062</v>
      </c>
      <c r="C31" s="26" t="s">
        <v>53</v>
      </c>
      <c r="D31" s="26" t="s">
        <v>33</v>
      </c>
      <c r="E31" s="26" t="s">
        <v>81</v>
      </c>
      <c r="F31" s="26">
        <v>4</v>
      </c>
      <c r="G31" s="26" t="s">
        <v>85</v>
      </c>
      <c r="H31" s="28">
        <v>65500</v>
      </c>
    </row>
    <row r="32" spans="1:11" x14ac:dyDescent="0.2">
      <c r="A32" s="26">
        <v>31428</v>
      </c>
      <c r="B32" s="27">
        <v>42743</v>
      </c>
      <c r="C32" s="26" t="s">
        <v>54</v>
      </c>
      <c r="D32" s="26" t="s">
        <v>34</v>
      </c>
      <c r="E32" s="26" t="s">
        <v>81</v>
      </c>
      <c r="F32" s="26">
        <v>0</v>
      </c>
      <c r="G32" s="26" t="s">
        <v>84</v>
      </c>
      <c r="H32" s="28">
        <v>95000</v>
      </c>
    </row>
    <row r="33" spans="1:8" x14ac:dyDescent="0.2">
      <c r="A33" s="26">
        <v>46274</v>
      </c>
      <c r="B33" s="27">
        <v>42768</v>
      </c>
      <c r="C33" s="26" t="s">
        <v>23</v>
      </c>
      <c r="D33" s="26" t="s">
        <v>35</v>
      </c>
      <c r="E33" s="26" t="s">
        <v>81</v>
      </c>
      <c r="F33" s="26">
        <v>3</v>
      </c>
      <c r="G33" s="26" t="s">
        <v>84</v>
      </c>
      <c r="H33" s="28">
        <v>85000</v>
      </c>
    </row>
    <row r="34" spans="1:8" x14ac:dyDescent="0.2">
      <c r="A34" s="26">
        <v>30261</v>
      </c>
      <c r="B34" s="27">
        <v>43950</v>
      </c>
      <c r="C34" s="26" t="s">
        <v>55</v>
      </c>
      <c r="D34" s="26" t="s">
        <v>36</v>
      </c>
      <c r="E34" s="26" t="s">
        <v>81</v>
      </c>
      <c r="F34" s="26">
        <v>0</v>
      </c>
      <c r="G34" s="26" t="s">
        <v>85</v>
      </c>
      <c r="H34" s="28">
        <v>95000</v>
      </c>
    </row>
    <row r="35" spans="1:8" x14ac:dyDescent="0.2">
      <c r="A35" s="26">
        <v>98065</v>
      </c>
      <c r="B35" s="27">
        <v>44118</v>
      </c>
      <c r="C35" s="26" t="s">
        <v>60</v>
      </c>
      <c r="D35" s="26" t="s">
        <v>41</v>
      </c>
      <c r="E35" s="26" t="s">
        <v>81</v>
      </c>
      <c r="F35" s="26">
        <v>1</v>
      </c>
      <c r="G35" s="26" t="s">
        <v>85</v>
      </c>
      <c r="H35" s="28">
        <v>68540</v>
      </c>
    </row>
    <row r="36" spans="1:8" x14ac:dyDescent="0.2">
      <c r="A36" s="26">
        <v>90871</v>
      </c>
      <c r="B36" s="27">
        <v>43615</v>
      </c>
      <c r="C36" s="26" t="s">
        <v>64</v>
      </c>
      <c r="D36" s="26" t="s">
        <v>46</v>
      </c>
      <c r="E36" s="26" t="s">
        <v>81</v>
      </c>
      <c r="F36" s="26">
        <v>3</v>
      </c>
      <c r="G36" s="26" t="s">
        <v>84</v>
      </c>
      <c r="H36" s="28">
        <v>85450</v>
      </c>
    </row>
    <row r="37" spans="1:8" x14ac:dyDescent="0.2">
      <c r="A37" s="26">
        <v>39948</v>
      </c>
      <c r="B37" s="27">
        <v>43844</v>
      </c>
      <c r="C37" s="26" t="s">
        <v>65</v>
      </c>
      <c r="D37" s="26" t="s">
        <v>47</v>
      </c>
      <c r="E37" s="26" t="s">
        <v>81</v>
      </c>
      <c r="F37" s="26">
        <v>4</v>
      </c>
      <c r="G37" s="26" t="s">
        <v>85</v>
      </c>
      <c r="H37" s="28">
        <v>90542</v>
      </c>
    </row>
    <row r="38" spans="1:8" x14ac:dyDescent="0.2">
      <c r="A38" s="33">
        <v>28253</v>
      </c>
      <c r="B38" s="34">
        <v>43219</v>
      </c>
      <c r="C38" s="33" t="s">
        <v>69</v>
      </c>
      <c r="D38" s="33" t="s">
        <v>51</v>
      </c>
      <c r="E38" s="33" t="s">
        <v>81</v>
      </c>
      <c r="F38" s="33">
        <v>3</v>
      </c>
      <c r="G38" s="26" t="s">
        <v>84</v>
      </c>
      <c r="H38" s="35">
        <v>65600</v>
      </c>
    </row>
  </sheetData>
  <sortState xmlns:xlrd2="http://schemas.microsoft.com/office/spreadsheetml/2017/richdata2" ref="A6:A25">
    <sortCondition ref="A6:A25"/>
  </sortState>
  <mergeCells count="1">
    <mergeCell ref="A1:H1"/>
  </mergeCells>
  <conditionalFormatting sqref="A6:H25">
    <cfRule type="cellIs" dxfId="0" priority="1" operator="equal">
      <formula>"Y"</formula>
    </cfRule>
  </conditionalFormatting>
  <dataValidations disablePrompts="1" count="2">
    <dataValidation type="list" allowBlank="1" showInputMessage="1" showErrorMessage="1" sqref="K6" xr:uid="{00000000-0002-0000-0000-000000000000}">
      <formula1>"First_Name, Last_Name, Type, Dependents, Salary"</formula1>
    </dataValidation>
    <dataValidation type="list" errorStyle="warning" allowBlank="1" showInputMessage="1" showErrorMessage="1" prompt="Select Employee ID" sqref="J7" xr:uid="{98D065D3-CAB2-4A1F-A4FA-9D32F053A746}">
      <formula1>A6:A25</formula1>
    </dataValidation>
  </dataValidations>
  <pageMargins left="0.7" right="0.7" top="0.75" bottom="0.75" header="0.3" footer="0.3"/>
  <pageSetup orientation="portrait" r:id="rId1"/>
  <headerFooter>
    <oddFooter>&amp;LKylerSuess&amp;CCurrent&amp;Rexam3_SuessKyler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ort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10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253"/>
  <sheetViews>
    <sheetView topLeftCell="A12" zoomScaleNormal="100" workbookViewId="0">
      <selection activeCell="B23" sqref="B23"/>
    </sheetView>
  </sheetViews>
  <sheetFormatPr defaultRowHeight="14.25" x14ac:dyDescent="0.2"/>
  <cols>
    <col min="1" max="1" width="56.25" style="14" customWidth="1"/>
    <col min="2" max="2" width="13.75" style="14" bestFit="1" customWidth="1"/>
    <col min="3" max="3" width="11.125" style="14" bestFit="1" customWidth="1"/>
    <col min="4" max="4" width="15" style="14" customWidth="1"/>
    <col min="5" max="5" width="14.25" style="14" customWidth="1"/>
    <col min="6" max="6" width="13.75" style="14" bestFit="1" customWidth="1"/>
    <col min="7" max="7" width="13.875" style="14" customWidth="1"/>
    <col min="8" max="8" width="14.25" style="14" customWidth="1"/>
    <col min="9" max="16384" width="9" style="14"/>
  </cols>
  <sheetData>
    <row r="1" spans="1:8" x14ac:dyDescent="0.2">
      <c r="A1" s="53"/>
      <c r="B1" s="53"/>
      <c r="C1" s="53"/>
      <c r="D1" s="53"/>
      <c r="E1" s="53"/>
      <c r="F1" s="53"/>
      <c r="G1" s="53"/>
      <c r="H1" s="53"/>
    </row>
    <row r="3" spans="1:8" ht="21" thickBot="1" x14ac:dyDescent="0.35">
      <c r="A3" s="2" t="s">
        <v>80</v>
      </c>
      <c r="B3" s="3"/>
      <c r="C3" s="3"/>
      <c r="D3" s="3"/>
      <c r="E3" s="3"/>
      <c r="F3" s="4"/>
      <c r="G3" s="4"/>
      <c r="H3" s="4"/>
    </row>
    <row r="4" spans="1:8" ht="15" thickTop="1" x14ac:dyDescent="0.2">
      <c r="A4" s="4"/>
      <c r="B4" s="4"/>
      <c r="C4" s="4"/>
      <c r="D4" s="4"/>
      <c r="E4" s="4"/>
      <c r="F4" s="5"/>
      <c r="G4" s="4"/>
      <c r="H4" s="4"/>
    </row>
    <row r="5" spans="1:8" ht="17.25" thickBot="1" x14ac:dyDescent="0.3">
      <c r="A5" s="6" t="s">
        <v>0</v>
      </c>
      <c r="B5" s="7"/>
      <c r="C5" s="4"/>
      <c r="D5" s="6" t="s">
        <v>1</v>
      </c>
      <c r="E5" s="1"/>
      <c r="F5" s="8"/>
      <c r="G5" s="4"/>
      <c r="H5" s="4"/>
    </row>
    <row r="6" spans="1:8" ht="15" thickTop="1" x14ac:dyDescent="0.2">
      <c r="A6" s="4" t="s">
        <v>2</v>
      </c>
      <c r="B6" s="9">
        <f>PMT(E7,E8,-E6)</f>
        <v>7500.0000000000009</v>
      </c>
      <c r="C6" s="4"/>
      <c r="D6" s="4" t="s">
        <v>3</v>
      </c>
      <c r="E6" s="8">
        <v>399852.59878349782</v>
      </c>
      <c r="F6" s="10"/>
      <c r="G6" s="4"/>
      <c r="H6" s="4"/>
    </row>
    <row r="7" spans="1:8" x14ac:dyDescent="0.2">
      <c r="A7" s="4" t="s">
        <v>4</v>
      </c>
      <c r="B7" s="11">
        <v>4.7500000000000001E-2</v>
      </c>
      <c r="C7" s="4"/>
      <c r="D7" s="4" t="s">
        <v>5</v>
      </c>
      <c r="E7" s="10">
        <f>B7/B9</f>
        <v>3.9583333333333337E-3</v>
      </c>
      <c r="F7" s="12"/>
      <c r="G7" s="4"/>
      <c r="H7" s="4"/>
    </row>
    <row r="8" spans="1:8" x14ac:dyDescent="0.2">
      <c r="A8" s="4" t="s">
        <v>6</v>
      </c>
      <c r="B8" s="13">
        <v>5</v>
      </c>
      <c r="C8" s="4"/>
      <c r="D8" s="4" t="s">
        <v>7</v>
      </c>
      <c r="E8" s="12">
        <f>B8*B9</f>
        <v>60</v>
      </c>
      <c r="F8" s="4"/>
      <c r="G8" s="4"/>
      <c r="H8" s="4"/>
    </row>
    <row r="9" spans="1:8" x14ac:dyDescent="0.2">
      <c r="A9" s="4" t="s">
        <v>8</v>
      </c>
      <c r="B9" s="13">
        <v>12</v>
      </c>
      <c r="C9" s="4"/>
      <c r="D9" s="4"/>
      <c r="E9" s="4"/>
      <c r="F9" s="4"/>
      <c r="G9" s="4"/>
      <c r="H9" s="4"/>
    </row>
    <row r="10" spans="1:8" ht="15" thickBot="1" x14ac:dyDescent="0.25">
      <c r="A10" s="4"/>
      <c r="B10" s="4"/>
      <c r="C10" s="4"/>
      <c r="D10" s="4"/>
      <c r="E10" s="4"/>
      <c r="G10" s="4"/>
    </row>
    <row r="11" spans="1:8" ht="29.25" thickBot="1" x14ac:dyDescent="0.25">
      <c r="A11" s="15" t="s">
        <v>9</v>
      </c>
      <c r="B11" s="15" t="s">
        <v>10</v>
      </c>
      <c r="C11" s="15" t="s">
        <v>11</v>
      </c>
      <c r="D11" s="15" t="s">
        <v>12</v>
      </c>
      <c r="E11" s="15" t="s">
        <v>13</v>
      </c>
      <c r="F11" s="15" t="s">
        <v>14</v>
      </c>
      <c r="G11" s="15" t="s">
        <v>15</v>
      </c>
      <c r="H11" s="15" t="s">
        <v>16</v>
      </c>
    </row>
    <row r="12" spans="1:8" x14ac:dyDescent="0.2">
      <c r="A12" s="16">
        <v>1</v>
      </c>
      <c r="B12" s="17">
        <f>$E$6</f>
        <v>399852.59878349782</v>
      </c>
      <c r="C12" s="17">
        <f>$B$6</f>
        <v>7500.0000000000009</v>
      </c>
      <c r="D12" s="18">
        <f>B12*$E$7/$B$9</f>
        <v>131.89582251538991</v>
      </c>
      <c r="E12" s="18">
        <f>C12-D12</f>
        <v>7368.1041774846108</v>
      </c>
      <c r="F12" s="18">
        <f>B12-E12</f>
        <v>392484.49460601318</v>
      </c>
      <c r="G12" s="51">
        <f>D12</f>
        <v>131.89582251538991</v>
      </c>
      <c r="H12" s="18">
        <f>F12</f>
        <v>392484.49460601318</v>
      </c>
    </row>
    <row r="13" spans="1:8" x14ac:dyDescent="0.2">
      <c r="A13" s="16">
        <v>2</v>
      </c>
      <c r="B13" s="17">
        <f>F12</f>
        <v>392484.49460601318</v>
      </c>
      <c r="C13" s="17">
        <f t="shared" ref="C13:C71" si="0">$B$6</f>
        <v>7500.0000000000009</v>
      </c>
      <c r="D13" s="18">
        <f t="shared" ref="D13" si="1">B13*$E$7/$B$9</f>
        <v>129.46537148462241</v>
      </c>
      <c r="E13" s="18">
        <f t="shared" ref="E13" si="2">C13-D13</f>
        <v>7370.5346285153782</v>
      </c>
      <c r="F13" s="18">
        <f t="shared" ref="F13" si="3">B13-E13</f>
        <v>385113.95997749781</v>
      </c>
      <c r="G13" s="51">
        <f t="shared" ref="G13" si="4">D13</f>
        <v>129.46537148462241</v>
      </c>
      <c r="H13" s="18">
        <f t="shared" ref="H13" si="5">F13</f>
        <v>385113.95997749781</v>
      </c>
    </row>
    <row r="14" spans="1:8" x14ac:dyDescent="0.2">
      <c r="A14" s="16">
        <v>3</v>
      </c>
      <c r="B14" s="17">
        <f t="shared" ref="B14:B71" si="6">F13</f>
        <v>385113.95997749781</v>
      </c>
      <c r="C14" s="17">
        <f t="shared" si="0"/>
        <v>7500.0000000000009</v>
      </c>
      <c r="D14" s="18">
        <f t="shared" ref="D14:D19" si="7">B14*$E$7/$B$9</f>
        <v>127.03411874257741</v>
      </c>
      <c r="E14" s="18">
        <f t="shared" ref="E14:E19" si="8">C14-D14</f>
        <v>7372.9658812574235</v>
      </c>
      <c r="F14" s="18">
        <f t="shared" ref="F14:F19" si="9">B14-E14</f>
        <v>377740.99409624038</v>
      </c>
      <c r="G14" s="51">
        <f t="shared" ref="G14:G19" si="10">D14</f>
        <v>127.03411874257741</v>
      </c>
      <c r="H14" s="18">
        <f t="shared" ref="H14:H19" si="11">F14</f>
        <v>377740.99409624038</v>
      </c>
    </row>
    <row r="15" spans="1:8" x14ac:dyDescent="0.2">
      <c r="A15" s="16">
        <v>4</v>
      </c>
      <c r="B15" s="17">
        <f t="shared" si="6"/>
        <v>377740.99409624038</v>
      </c>
      <c r="C15" s="17">
        <f t="shared" si="0"/>
        <v>7500.0000000000009</v>
      </c>
      <c r="D15" s="18">
        <f t="shared" si="7"/>
        <v>124.60206402480152</v>
      </c>
      <c r="E15" s="18">
        <f t="shared" si="8"/>
        <v>7375.3979359751993</v>
      </c>
      <c r="F15" s="18">
        <f t="shared" si="9"/>
        <v>370365.59616026515</v>
      </c>
      <c r="G15" s="51">
        <f t="shared" si="10"/>
        <v>124.60206402480152</v>
      </c>
      <c r="H15" s="18">
        <f t="shared" si="11"/>
        <v>370365.59616026515</v>
      </c>
    </row>
    <row r="16" spans="1:8" x14ac:dyDescent="0.2">
      <c r="A16" s="16">
        <v>5</v>
      </c>
      <c r="B16" s="17">
        <f t="shared" si="6"/>
        <v>370365.59616026515</v>
      </c>
      <c r="C16" s="17">
        <f t="shared" si="0"/>
        <v>7500.0000000000009</v>
      </c>
      <c r="D16" s="18">
        <f t="shared" si="7"/>
        <v>122.16920706675414</v>
      </c>
      <c r="E16" s="18">
        <f t="shared" si="8"/>
        <v>7377.8307929332468</v>
      </c>
      <c r="F16" s="18">
        <f t="shared" si="9"/>
        <v>362987.76536733191</v>
      </c>
      <c r="G16" s="51">
        <f t="shared" si="10"/>
        <v>122.16920706675414</v>
      </c>
      <c r="H16" s="18">
        <f t="shared" si="11"/>
        <v>362987.76536733191</v>
      </c>
    </row>
    <row r="17" spans="1:8" x14ac:dyDescent="0.2">
      <c r="A17" s="16">
        <v>6</v>
      </c>
      <c r="B17" s="17">
        <f t="shared" si="6"/>
        <v>362987.76536733191</v>
      </c>
      <c r="C17" s="17">
        <f t="shared" si="0"/>
        <v>7500.0000000000009</v>
      </c>
      <c r="D17" s="18">
        <f t="shared" si="7"/>
        <v>119.7355476038074</v>
      </c>
      <c r="E17" s="18">
        <f t="shared" si="8"/>
        <v>7380.2644523961935</v>
      </c>
      <c r="F17" s="18">
        <f t="shared" si="9"/>
        <v>355607.50091493572</v>
      </c>
      <c r="G17" s="51">
        <f t="shared" si="10"/>
        <v>119.7355476038074</v>
      </c>
      <c r="H17" s="18">
        <f t="shared" si="11"/>
        <v>355607.50091493572</v>
      </c>
    </row>
    <row r="18" spans="1:8" x14ac:dyDescent="0.2">
      <c r="A18" s="16">
        <v>7</v>
      </c>
      <c r="B18" s="17">
        <f t="shared" si="6"/>
        <v>355607.50091493572</v>
      </c>
      <c r="C18" s="17">
        <f t="shared" si="0"/>
        <v>7500.0000000000009</v>
      </c>
      <c r="D18" s="18">
        <f t="shared" si="7"/>
        <v>117.30108537124617</v>
      </c>
      <c r="E18" s="18">
        <f t="shared" si="8"/>
        <v>7382.6989146287551</v>
      </c>
      <c r="F18" s="18">
        <f t="shared" si="9"/>
        <v>348224.80200030695</v>
      </c>
      <c r="G18" s="51">
        <f t="shared" si="10"/>
        <v>117.30108537124617</v>
      </c>
      <c r="H18" s="18">
        <f t="shared" si="11"/>
        <v>348224.80200030695</v>
      </c>
    </row>
    <row r="19" spans="1:8" x14ac:dyDescent="0.2">
      <c r="A19" s="16">
        <v>8</v>
      </c>
      <c r="B19" s="17">
        <f t="shared" si="6"/>
        <v>348224.80200030695</v>
      </c>
      <c r="C19" s="17">
        <f t="shared" si="0"/>
        <v>7500.0000000000009</v>
      </c>
      <c r="D19" s="18">
        <f t="shared" si="7"/>
        <v>114.86582010426793</v>
      </c>
      <c r="E19" s="18">
        <f t="shared" si="8"/>
        <v>7385.1341798957328</v>
      </c>
      <c r="F19" s="18">
        <f t="shared" si="9"/>
        <v>340839.66782041121</v>
      </c>
      <c r="G19" s="51">
        <f t="shared" si="10"/>
        <v>114.86582010426793</v>
      </c>
      <c r="H19" s="18">
        <f t="shared" si="11"/>
        <v>340839.66782041121</v>
      </c>
    </row>
    <row r="20" spans="1:8" x14ac:dyDescent="0.2">
      <c r="A20" s="16">
        <v>9</v>
      </c>
      <c r="B20" s="17">
        <f t="shared" si="6"/>
        <v>340839.66782041121</v>
      </c>
      <c r="C20" s="17">
        <f t="shared" si="0"/>
        <v>7500.0000000000009</v>
      </c>
      <c r="D20" s="18">
        <f t="shared" ref="D20:D71" si="12">B20*$E$7/$B$9</f>
        <v>112.42975153798288</v>
      </c>
      <c r="E20" s="18">
        <f t="shared" ref="E20:E71" si="13">C20-D20</f>
        <v>7387.5702484620178</v>
      </c>
      <c r="F20" s="18">
        <f t="shared" ref="F20:F71" si="14">B20-E20</f>
        <v>333452.09757194918</v>
      </c>
      <c r="G20" s="51">
        <f t="shared" ref="G20:G71" si="15">D20</f>
        <v>112.42975153798288</v>
      </c>
      <c r="H20" s="18">
        <f t="shared" ref="H20:H71" si="16">F20</f>
        <v>333452.09757194918</v>
      </c>
    </row>
    <row r="21" spans="1:8" x14ac:dyDescent="0.2">
      <c r="A21" s="16">
        <v>10</v>
      </c>
      <c r="B21" s="17">
        <f t="shared" si="6"/>
        <v>333452.09757194918</v>
      </c>
      <c r="C21" s="17">
        <f t="shared" si="0"/>
        <v>7500.0000000000009</v>
      </c>
      <c r="D21" s="18">
        <f t="shared" si="12"/>
        <v>109.9928794074138</v>
      </c>
      <c r="E21" s="18">
        <f t="shared" si="13"/>
        <v>7390.0071205925869</v>
      </c>
      <c r="F21" s="18">
        <f t="shared" si="14"/>
        <v>326062.09045135661</v>
      </c>
      <c r="G21" s="51">
        <f t="shared" si="15"/>
        <v>109.9928794074138</v>
      </c>
      <c r="H21" s="18">
        <f t="shared" si="16"/>
        <v>326062.09045135661</v>
      </c>
    </row>
    <row r="22" spans="1:8" x14ac:dyDescent="0.2">
      <c r="A22" s="16">
        <v>11</v>
      </c>
      <c r="B22" s="17">
        <f t="shared" si="6"/>
        <v>326062.09045135661</v>
      </c>
      <c r="C22" s="17">
        <f t="shared" si="0"/>
        <v>7500.0000000000009</v>
      </c>
      <c r="D22" s="18">
        <f t="shared" si="12"/>
        <v>107.55520344749611</v>
      </c>
      <c r="E22" s="18">
        <f t="shared" si="13"/>
        <v>7392.4447965525051</v>
      </c>
      <c r="F22" s="18">
        <f t="shared" si="14"/>
        <v>318669.64565480407</v>
      </c>
      <c r="G22" s="51">
        <f t="shared" si="15"/>
        <v>107.55520344749611</v>
      </c>
      <c r="H22" s="18">
        <f t="shared" si="16"/>
        <v>318669.64565480407</v>
      </c>
    </row>
    <row r="23" spans="1:8" x14ac:dyDescent="0.2">
      <c r="A23" s="16">
        <v>12</v>
      </c>
      <c r="B23" s="17">
        <f t="shared" si="6"/>
        <v>318669.64565480407</v>
      </c>
      <c r="C23" s="17">
        <f t="shared" si="0"/>
        <v>7500.0000000000009</v>
      </c>
      <c r="D23" s="18">
        <f t="shared" si="12"/>
        <v>105.11672339307773</v>
      </c>
      <c r="E23" s="18">
        <f t="shared" si="13"/>
        <v>7394.8832766069236</v>
      </c>
      <c r="F23" s="18">
        <f t="shared" si="14"/>
        <v>311274.76237819716</v>
      </c>
      <c r="G23" s="51">
        <f t="shared" si="15"/>
        <v>105.11672339307773</v>
      </c>
      <c r="H23" s="18">
        <f t="shared" si="16"/>
        <v>311274.76237819716</v>
      </c>
    </row>
    <row r="24" spans="1:8" x14ac:dyDescent="0.2">
      <c r="A24" s="16">
        <v>13</v>
      </c>
      <c r="B24" s="17">
        <f t="shared" si="6"/>
        <v>311274.76237819716</v>
      </c>
      <c r="C24" s="17">
        <f t="shared" si="0"/>
        <v>7500.0000000000009</v>
      </c>
      <c r="D24" s="18">
        <f t="shared" si="12"/>
        <v>102.67743897891921</v>
      </c>
      <c r="E24" s="18">
        <f t="shared" si="13"/>
        <v>7397.322561021082</v>
      </c>
      <c r="F24" s="18">
        <f t="shared" si="14"/>
        <v>303877.43981717608</v>
      </c>
      <c r="G24" s="51">
        <f t="shared" si="15"/>
        <v>102.67743897891921</v>
      </c>
      <c r="H24" s="18">
        <f t="shared" si="16"/>
        <v>303877.43981717608</v>
      </c>
    </row>
    <row r="25" spans="1:8" x14ac:dyDescent="0.2">
      <c r="A25" s="16">
        <v>14</v>
      </c>
      <c r="B25" s="17">
        <f t="shared" si="6"/>
        <v>303877.43981717608</v>
      </c>
      <c r="C25" s="17">
        <f t="shared" si="0"/>
        <v>7500.0000000000009</v>
      </c>
      <c r="D25" s="18">
        <f t="shared" si="12"/>
        <v>100.2373499396935</v>
      </c>
      <c r="E25" s="18">
        <f t="shared" si="13"/>
        <v>7399.7626500603074</v>
      </c>
      <c r="F25" s="18">
        <f t="shared" si="14"/>
        <v>296477.67716711579</v>
      </c>
      <c r="G25" s="51">
        <f t="shared" si="15"/>
        <v>100.2373499396935</v>
      </c>
      <c r="H25" s="18">
        <f t="shared" si="16"/>
        <v>296477.67716711579</v>
      </c>
    </row>
    <row r="26" spans="1:8" x14ac:dyDescent="0.2">
      <c r="A26" s="16">
        <v>15</v>
      </c>
      <c r="B26" s="17">
        <f t="shared" si="6"/>
        <v>296477.67716711579</v>
      </c>
      <c r="C26" s="17">
        <f t="shared" si="0"/>
        <v>7500.0000000000009</v>
      </c>
      <c r="D26" s="18">
        <f t="shared" si="12"/>
        <v>97.796456009986116</v>
      </c>
      <c r="E26" s="18">
        <f t="shared" si="13"/>
        <v>7402.2035439900146</v>
      </c>
      <c r="F26" s="18">
        <f t="shared" si="14"/>
        <v>289075.47362312576</v>
      </c>
      <c r="G26" s="51">
        <f t="shared" si="15"/>
        <v>97.796456009986116</v>
      </c>
      <c r="H26" s="18">
        <f t="shared" si="16"/>
        <v>289075.47362312576</v>
      </c>
    </row>
    <row r="27" spans="1:8" x14ac:dyDescent="0.2">
      <c r="A27" s="16">
        <v>16</v>
      </c>
      <c r="B27" s="17">
        <f t="shared" si="6"/>
        <v>289075.47362312576</v>
      </c>
      <c r="C27" s="17">
        <f t="shared" si="0"/>
        <v>7500.0000000000009</v>
      </c>
      <c r="D27" s="18">
        <f t="shared" si="12"/>
        <v>95.354756924294961</v>
      </c>
      <c r="E27" s="18">
        <f t="shared" si="13"/>
        <v>7404.6452430757063</v>
      </c>
      <c r="F27" s="18">
        <f t="shared" si="14"/>
        <v>281670.82838005002</v>
      </c>
      <c r="G27" s="51">
        <f t="shared" si="15"/>
        <v>95.354756924294961</v>
      </c>
      <c r="H27" s="18">
        <f t="shared" si="16"/>
        <v>281670.82838005002</v>
      </c>
    </row>
    <row r="28" spans="1:8" x14ac:dyDescent="0.2">
      <c r="A28" s="16">
        <v>17</v>
      </c>
      <c r="B28" s="17">
        <f t="shared" si="6"/>
        <v>281670.82838005002</v>
      </c>
      <c r="C28" s="17">
        <f t="shared" si="0"/>
        <v>7500.0000000000009</v>
      </c>
      <c r="D28" s="18">
        <f t="shared" si="12"/>
        <v>92.912252417030402</v>
      </c>
      <c r="E28" s="18">
        <f t="shared" si="13"/>
        <v>7407.0877475829702</v>
      </c>
      <c r="F28" s="18">
        <f t="shared" si="14"/>
        <v>274263.74063246703</v>
      </c>
      <c r="G28" s="51">
        <f t="shared" si="15"/>
        <v>92.912252417030402</v>
      </c>
      <c r="H28" s="18">
        <f t="shared" si="16"/>
        <v>274263.74063246703</v>
      </c>
    </row>
    <row r="29" spans="1:8" x14ac:dyDescent="0.2">
      <c r="A29" s="16">
        <v>18</v>
      </c>
      <c r="B29" s="17">
        <f t="shared" si="6"/>
        <v>274263.74063246703</v>
      </c>
      <c r="C29" s="17">
        <f t="shared" si="0"/>
        <v>7500.0000000000009</v>
      </c>
      <c r="D29" s="18">
        <f t="shared" si="12"/>
        <v>90.468942222515182</v>
      </c>
      <c r="E29" s="18">
        <f t="shared" si="13"/>
        <v>7409.5310577774853</v>
      </c>
      <c r="F29" s="18">
        <f t="shared" si="14"/>
        <v>266854.20957468956</v>
      </c>
      <c r="G29" s="51">
        <f t="shared" si="15"/>
        <v>90.468942222515182</v>
      </c>
      <c r="H29" s="18">
        <f t="shared" si="16"/>
        <v>266854.20957468956</v>
      </c>
    </row>
    <row r="30" spans="1:8" x14ac:dyDescent="0.2">
      <c r="A30" s="16">
        <v>19</v>
      </c>
      <c r="B30" s="17">
        <f t="shared" si="6"/>
        <v>266854.20957468956</v>
      </c>
      <c r="C30" s="17">
        <f t="shared" si="0"/>
        <v>7500.0000000000009</v>
      </c>
      <c r="D30" s="18">
        <f t="shared" si="12"/>
        <v>88.024826074984404</v>
      </c>
      <c r="E30" s="18">
        <f t="shared" si="13"/>
        <v>7411.9751739250169</v>
      </c>
      <c r="F30" s="18">
        <f t="shared" si="14"/>
        <v>259442.23440076454</v>
      </c>
      <c r="G30" s="51">
        <f t="shared" si="15"/>
        <v>88.024826074984404</v>
      </c>
      <c r="H30" s="18">
        <f t="shared" si="16"/>
        <v>259442.23440076454</v>
      </c>
    </row>
    <row r="31" spans="1:8" x14ac:dyDescent="0.2">
      <c r="A31" s="16">
        <v>20</v>
      </c>
      <c r="B31" s="17">
        <f t="shared" si="6"/>
        <v>259442.23440076454</v>
      </c>
      <c r="C31" s="17">
        <f t="shared" si="0"/>
        <v>7500.0000000000009</v>
      </c>
      <c r="D31" s="18">
        <f t="shared" si="12"/>
        <v>85.579903708585547</v>
      </c>
      <c r="E31" s="18">
        <f t="shared" si="13"/>
        <v>7414.4200962914156</v>
      </c>
      <c r="F31" s="18">
        <f t="shared" si="14"/>
        <v>252027.81430447314</v>
      </c>
      <c r="G31" s="51">
        <f t="shared" si="15"/>
        <v>85.579903708585547</v>
      </c>
      <c r="H31" s="18">
        <f t="shared" si="16"/>
        <v>252027.81430447314</v>
      </c>
    </row>
    <row r="32" spans="1:8" x14ac:dyDescent="0.2">
      <c r="A32" s="16">
        <v>21</v>
      </c>
      <c r="B32" s="17">
        <f t="shared" si="6"/>
        <v>252027.81430447314</v>
      </c>
      <c r="C32" s="17">
        <f t="shared" si="0"/>
        <v>7500.0000000000009</v>
      </c>
      <c r="D32" s="18">
        <f t="shared" si="12"/>
        <v>83.134174857378298</v>
      </c>
      <c r="E32" s="18">
        <f t="shared" si="13"/>
        <v>7416.8658251426223</v>
      </c>
      <c r="F32" s="18">
        <f t="shared" si="14"/>
        <v>244610.94847933052</v>
      </c>
      <c r="G32" s="51">
        <f t="shared" si="15"/>
        <v>83.134174857378298</v>
      </c>
      <c r="H32" s="18">
        <f t="shared" si="16"/>
        <v>244610.94847933052</v>
      </c>
    </row>
    <row r="33" spans="1:8" x14ac:dyDescent="0.2">
      <c r="A33" s="16">
        <v>22</v>
      </c>
      <c r="B33" s="17">
        <f t="shared" si="6"/>
        <v>244610.94847933052</v>
      </c>
      <c r="C33" s="17">
        <f t="shared" si="0"/>
        <v>7500.0000000000009</v>
      </c>
      <c r="D33" s="18">
        <f t="shared" si="12"/>
        <v>80.68763925533473</v>
      </c>
      <c r="E33" s="18">
        <f t="shared" si="13"/>
        <v>7419.312360744666</v>
      </c>
      <c r="F33" s="18">
        <f t="shared" si="14"/>
        <v>237191.63611858586</v>
      </c>
      <c r="G33" s="51">
        <f t="shared" si="15"/>
        <v>80.68763925533473</v>
      </c>
      <c r="H33" s="18">
        <f t="shared" si="16"/>
        <v>237191.63611858586</v>
      </c>
    </row>
    <row r="34" spans="1:8" x14ac:dyDescent="0.2">
      <c r="A34" s="16">
        <v>23</v>
      </c>
      <c r="B34" s="17">
        <f t="shared" si="6"/>
        <v>237191.63611858586</v>
      </c>
      <c r="C34" s="17">
        <f t="shared" si="0"/>
        <v>7500.0000000000009</v>
      </c>
      <c r="D34" s="18">
        <f t="shared" si="12"/>
        <v>78.240296636339096</v>
      </c>
      <c r="E34" s="18">
        <f t="shared" si="13"/>
        <v>7421.7597033636621</v>
      </c>
      <c r="F34" s="18">
        <f t="shared" si="14"/>
        <v>229769.87641522218</v>
      </c>
      <c r="G34" s="51">
        <f t="shared" si="15"/>
        <v>78.240296636339096</v>
      </c>
      <c r="H34" s="18">
        <f t="shared" si="16"/>
        <v>229769.87641522218</v>
      </c>
    </row>
    <row r="35" spans="1:8" x14ac:dyDescent="0.2">
      <c r="A35" s="16">
        <v>24</v>
      </c>
      <c r="B35" s="17">
        <f t="shared" si="6"/>
        <v>229769.87641522218</v>
      </c>
      <c r="C35" s="17">
        <f t="shared" si="0"/>
        <v>7500.0000000000009</v>
      </c>
      <c r="D35" s="18">
        <f t="shared" si="12"/>
        <v>75.792146734187881</v>
      </c>
      <c r="E35" s="18">
        <f t="shared" si="13"/>
        <v>7424.2078532658134</v>
      </c>
      <c r="F35" s="18">
        <f t="shared" si="14"/>
        <v>222345.66856195638</v>
      </c>
      <c r="G35" s="51">
        <f t="shared" si="15"/>
        <v>75.792146734187881</v>
      </c>
      <c r="H35" s="18">
        <f t="shared" si="16"/>
        <v>222345.66856195638</v>
      </c>
    </row>
    <row r="36" spans="1:8" x14ac:dyDescent="0.2">
      <c r="A36" s="16">
        <v>25</v>
      </c>
      <c r="B36" s="17">
        <f t="shared" si="6"/>
        <v>222345.66856195638</v>
      </c>
      <c r="C36" s="17">
        <f t="shared" si="0"/>
        <v>7500.0000000000009</v>
      </c>
      <c r="D36" s="18">
        <f t="shared" si="12"/>
        <v>73.34318928258979</v>
      </c>
      <c r="E36" s="18">
        <f t="shared" si="13"/>
        <v>7426.6568107174107</v>
      </c>
      <c r="F36" s="18">
        <f t="shared" si="14"/>
        <v>214919.01175123896</v>
      </c>
      <c r="G36" s="51">
        <f t="shared" si="15"/>
        <v>73.34318928258979</v>
      </c>
      <c r="H36" s="18">
        <f t="shared" si="16"/>
        <v>214919.01175123896</v>
      </c>
    </row>
    <row r="37" spans="1:8" x14ac:dyDescent="0.2">
      <c r="A37" s="16">
        <v>26</v>
      </c>
      <c r="B37" s="17">
        <f t="shared" si="6"/>
        <v>214919.01175123896</v>
      </c>
      <c r="C37" s="17">
        <f t="shared" si="0"/>
        <v>7500.0000000000009</v>
      </c>
      <c r="D37" s="18">
        <f t="shared" si="12"/>
        <v>70.893424015165635</v>
      </c>
      <c r="E37" s="18">
        <f t="shared" si="13"/>
        <v>7429.1065759848352</v>
      </c>
      <c r="F37" s="18">
        <f t="shared" si="14"/>
        <v>207489.90517525413</v>
      </c>
      <c r="G37" s="51">
        <f t="shared" si="15"/>
        <v>70.893424015165635</v>
      </c>
      <c r="H37" s="18">
        <f t="shared" si="16"/>
        <v>207489.90517525413</v>
      </c>
    </row>
    <row r="38" spans="1:8" x14ac:dyDescent="0.2">
      <c r="A38" s="16">
        <v>27</v>
      </c>
      <c r="B38" s="17">
        <f t="shared" si="6"/>
        <v>207489.90517525413</v>
      </c>
      <c r="C38" s="17">
        <f t="shared" si="0"/>
        <v>7500.0000000000009</v>
      </c>
      <c r="D38" s="18">
        <f t="shared" si="12"/>
        <v>68.442850665448418</v>
      </c>
      <c r="E38" s="18">
        <f t="shared" si="13"/>
        <v>7431.5571493345524</v>
      </c>
      <c r="F38" s="18">
        <f t="shared" si="14"/>
        <v>200058.34802591958</v>
      </c>
      <c r="G38" s="51">
        <f t="shared" si="15"/>
        <v>68.442850665448418</v>
      </c>
      <c r="H38" s="18">
        <f t="shared" si="16"/>
        <v>200058.34802591958</v>
      </c>
    </row>
    <row r="39" spans="1:8" x14ac:dyDescent="0.2">
      <c r="A39" s="16">
        <v>28</v>
      </c>
      <c r="B39" s="17">
        <f t="shared" si="6"/>
        <v>200058.34802591958</v>
      </c>
      <c r="C39" s="17">
        <f t="shared" si="0"/>
        <v>7500.0000000000009</v>
      </c>
      <c r="D39" s="18">
        <f t="shared" si="12"/>
        <v>65.991468966883204</v>
      </c>
      <c r="E39" s="18">
        <f t="shared" si="13"/>
        <v>7434.0085310331178</v>
      </c>
      <c r="F39" s="18">
        <f t="shared" si="14"/>
        <v>192624.33949488646</v>
      </c>
      <c r="G39" s="51">
        <f t="shared" si="15"/>
        <v>65.991468966883204</v>
      </c>
      <c r="H39" s="18">
        <f t="shared" si="16"/>
        <v>192624.33949488646</v>
      </c>
    </row>
    <row r="40" spans="1:8" x14ac:dyDescent="0.2">
      <c r="A40" s="16">
        <v>29</v>
      </c>
      <c r="B40" s="17">
        <f t="shared" si="6"/>
        <v>192624.33949488646</v>
      </c>
      <c r="C40" s="17">
        <f t="shared" si="0"/>
        <v>7500.0000000000009</v>
      </c>
      <c r="D40" s="18">
        <f t="shared" si="12"/>
        <v>63.539278652827136</v>
      </c>
      <c r="E40" s="18">
        <f t="shared" si="13"/>
        <v>7436.4607213471736</v>
      </c>
      <c r="F40" s="18">
        <f t="shared" si="14"/>
        <v>185187.8787735393</v>
      </c>
      <c r="G40" s="51">
        <f t="shared" si="15"/>
        <v>63.539278652827136</v>
      </c>
      <c r="H40" s="18">
        <f t="shared" si="16"/>
        <v>185187.8787735393</v>
      </c>
    </row>
    <row r="41" spans="1:8" x14ac:dyDescent="0.2">
      <c r="A41" s="16">
        <v>30</v>
      </c>
      <c r="B41" s="17">
        <f t="shared" si="6"/>
        <v>185187.8787735393</v>
      </c>
      <c r="C41" s="17">
        <f t="shared" si="0"/>
        <v>7500.0000000000009</v>
      </c>
      <c r="D41" s="18">
        <f t="shared" si="12"/>
        <v>61.086279456549427</v>
      </c>
      <c r="E41" s="18">
        <f t="shared" si="13"/>
        <v>7438.9137205434517</v>
      </c>
      <c r="F41" s="18">
        <f t="shared" si="14"/>
        <v>177748.96505299586</v>
      </c>
      <c r="G41" s="51">
        <f t="shared" si="15"/>
        <v>61.086279456549427</v>
      </c>
      <c r="H41" s="18">
        <f t="shared" si="16"/>
        <v>177748.96505299586</v>
      </c>
    </row>
    <row r="42" spans="1:8" x14ac:dyDescent="0.2">
      <c r="A42" s="16">
        <v>31</v>
      </c>
      <c r="B42" s="17">
        <f t="shared" si="6"/>
        <v>177748.96505299586</v>
      </c>
      <c r="C42" s="17">
        <f t="shared" si="0"/>
        <v>7500.0000000000009</v>
      </c>
      <c r="D42" s="18">
        <f t="shared" si="12"/>
        <v>58.632471111231276</v>
      </c>
      <c r="E42" s="18">
        <f t="shared" si="13"/>
        <v>7441.3675288887698</v>
      </c>
      <c r="F42" s="18">
        <f t="shared" si="14"/>
        <v>170307.59752410708</v>
      </c>
      <c r="G42" s="51">
        <f t="shared" si="15"/>
        <v>58.632471111231276</v>
      </c>
      <c r="H42" s="18">
        <f t="shared" si="16"/>
        <v>170307.59752410708</v>
      </c>
    </row>
    <row r="43" spans="1:8" x14ac:dyDescent="0.2">
      <c r="A43" s="16">
        <v>32</v>
      </c>
      <c r="B43" s="17">
        <f t="shared" si="6"/>
        <v>170307.59752410708</v>
      </c>
      <c r="C43" s="17">
        <f t="shared" si="0"/>
        <v>7500.0000000000009</v>
      </c>
      <c r="D43" s="18">
        <f t="shared" si="12"/>
        <v>56.177853349965886</v>
      </c>
      <c r="E43" s="18">
        <f t="shared" si="13"/>
        <v>7443.8221466500354</v>
      </c>
      <c r="F43" s="18">
        <f t="shared" si="14"/>
        <v>162863.77537745706</v>
      </c>
      <c r="G43" s="51">
        <f t="shared" si="15"/>
        <v>56.177853349965886</v>
      </c>
      <c r="H43" s="18">
        <f t="shared" si="16"/>
        <v>162863.77537745706</v>
      </c>
    </row>
    <row r="44" spans="1:8" x14ac:dyDescent="0.2">
      <c r="A44" s="16">
        <v>33</v>
      </c>
      <c r="B44" s="17">
        <f t="shared" si="6"/>
        <v>162863.77537745706</v>
      </c>
      <c r="C44" s="17">
        <f t="shared" si="0"/>
        <v>7500.0000000000009</v>
      </c>
      <c r="D44" s="18">
        <f t="shared" si="12"/>
        <v>53.722425905758406</v>
      </c>
      <c r="E44" s="18">
        <f t="shared" si="13"/>
        <v>7446.2775740942425</v>
      </c>
      <c r="F44" s="18">
        <f t="shared" si="14"/>
        <v>155417.49780336281</v>
      </c>
      <c r="G44" s="51">
        <f t="shared" si="15"/>
        <v>53.722425905758406</v>
      </c>
      <c r="H44" s="18">
        <f t="shared" si="16"/>
        <v>155417.49780336281</v>
      </c>
    </row>
    <row r="45" spans="1:8" x14ac:dyDescent="0.2">
      <c r="A45" s="16">
        <v>34</v>
      </c>
      <c r="B45" s="17">
        <f t="shared" si="6"/>
        <v>155417.49780336281</v>
      </c>
      <c r="C45" s="17">
        <f t="shared" si="0"/>
        <v>7500.0000000000009</v>
      </c>
      <c r="D45" s="18">
        <f t="shared" si="12"/>
        <v>51.266188511525932</v>
      </c>
      <c r="E45" s="18">
        <f t="shared" si="13"/>
        <v>7448.7338114884751</v>
      </c>
      <c r="F45" s="18">
        <f t="shared" si="14"/>
        <v>147968.76399187435</v>
      </c>
      <c r="G45" s="51">
        <f t="shared" si="15"/>
        <v>51.266188511525932</v>
      </c>
      <c r="H45" s="18">
        <f t="shared" si="16"/>
        <v>147968.76399187435</v>
      </c>
    </row>
    <row r="46" spans="1:8" x14ac:dyDescent="0.2">
      <c r="A46" s="16">
        <v>35</v>
      </c>
      <c r="B46" s="17">
        <f t="shared" si="6"/>
        <v>147968.76399187435</v>
      </c>
      <c r="C46" s="17">
        <f t="shared" si="0"/>
        <v>7500.0000000000009</v>
      </c>
      <c r="D46" s="18">
        <f t="shared" si="12"/>
        <v>48.809140900097447</v>
      </c>
      <c r="E46" s="18">
        <f t="shared" si="13"/>
        <v>7451.1908590999037</v>
      </c>
      <c r="F46" s="18">
        <f t="shared" si="14"/>
        <v>140517.57313277444</v>
      </c>
      <c r="G46" s="51">
        <f t="shared" si="15"/>
        <v>48.809140900097447</v>
      </c>
      <c r="H46" s="18">
        <f t="shared" si="16"/>
        <v>140517.57313277444</v>
      </c>
    </row>
    <row r="47" spans="1:8" x14ac:dyDescent="0.2">
      <c r="A47" s="16">
        <v>36</v>
      </c>
      <c r="B47" s="17">
        <f t="shared" si="6"/>
        <v>140517.57313277444</v>
      </c>
      <c r="C47" s="17">
        <f t="shared" si="0"/>
        <v>7500.0000000000009</v>
      </c>
      <c r="D47" s="18">
        <f t="shared" si="12"/>
        <v>46.351282804213803</v>
      </c>
      <c r="E47" s="18">
        <f t="shared" si="13"/>
        <v>7453.648717195787</v>
      </c>
      <c r="F47" s="18">
        <f t="shared" si="14"/>
        <v>133063.92441557866</v>
      </c>
      <c r="G47" s="51">
        <f t="shared" si="15"/>
        <v>46.351282804213803</v>
      </c>
      <c r="H47" s="18">
        <f t="shared" si="16"/>
        <v>133063.92441557866</v>
      </c>
    </row>
    <row r="48" spans="1:8" x14ac:dyDescent="0.2">
      <c r="A48" s="16">
        <v>37</v>
      </c>
      <c r="B48" s="17">
        <f t="shared" si="6"/>
        <v>133063.92441557866</v>
      </c>
      <c r="C48" s="17">
        <f t="shared" si="0"/>
        <v>7500.0000000000009</v>
      </c>
      <c r="D48" s="18">
        <f t="shared" si="12"/>
        <v>43.89261395652769</v>
      </c>
      <c r="E48" s="18">
        <f t="shared" si="13"/>
        <v>7456.1073860434735</v>
      </c>
      <c r="F48" s="18">
        <f t="shared" si="14"/>
        <v>125607.81702953519</v>
      </c>
      <c r="G48" s="51">
        <f t="shared" si="15"/>
        <v>43.89261395652769</v>
      </c>
      <c r="H48" s="18">
        <f t="shared" si="16"/>
        <v>125607.81702953519</v>
      </c>
    </row>
    <row r="49" spans="1:8" x14ac:dyDescent="0.2">
      <c r="A49" s="16">
        <v>38</v>
      </c>
      <c r="B49" s="17">
        <f t="shared" si="6"/>
        <v>125607.81702953519</v>
      </c>
      <c r="C49" s="17">
        <f t="shared" si="0"/>
        <v>7500.0000000000009</v>
      </c>
      <c r="D49" s="18">
        <f t="shared" si="12"/>
        <v>41.433134089603627</v>
      </c>
      <c r="E49" s="18">
        <f t="shared" si="13"/>
        <v>7458.5668659103976</v>
      </c>
      <c r="F49" s="18">
        <f t="shared" si="14"/>
        <v>118149.25016362479</v>
      </c>
      <c r="G49" s="51">
        <f t="shared" si="15"/>
        <v>41.433134089603627</v>
      </c>
      <c r="H49" s="18">
        <f t="shared" si="16"/>
        <v>118149.25016362479</v>
      </c>
    </row>
    <row r="50" spans="1:8" x14ac:dyDescent="0.2">
      <c r="A50" s="16">
        <v>39</v>
      </c>
      <c r="B50" s="17">
        <f t="shared" si="6"/>
        <v>118149.25016362479</v>
      </c>
      <c r="C50" s="17">
        <f t="shared" si="0"/>
        <v>7500.0000000000009</v>
      </c>
      <c r="D50" s="18">
        <f t="shared" si="12"/>
        <v>38.972842935917903</v>
      </c>
      <c r="E50" s="18">
        <f t="shared" si="13"/>
        <v>7461.0271570640834</v>
      </c>
      <c r="F50" s="18">
        <f t="shared" si="14"/>
        <v>110688.2230065607</v>
      </c>
      <c r="G50" s="51">
        <f t="shared" si="15"/>
        <v>38.972842935917903</v>
      </c>
      <c r="H50" s="18">
        <f t="shared" si="16"/>
        <v>110688.2230065607</v>
      </c>
    </row>
    <row r="51" spans="1:8" x14ac:dyDescent="0.2">
      <c r="A51" s="16">
        <v>40</v>
      </c>
      <c r="B51" s="17">
        <f t="shared" si="6"/>
        <v>110688.2230065607</v>
      </c>
      <c r="C51" s="17">
        <f t="shared" si="0"/>
        <v>7500.0000000000009</v>
      </c>
      <c r="D51" s="18">
        <f t="shared" si="12"/>
        <v>36.511740227858567</v>
      </c>
      <c r="E51" s="18">
        <f t="shared" si="13"/>
        <v>7463.4882597721426</v>
      </c>
      <c r="F51" s="18">
        <f t="shared" si="14"/>
        <v>103224.73474678856</v>
      </c>
      <c r="G51" s="51">
        <f t="shared" si="15"/>
        <v>36.511740227858567</v>
      </c>
      <c r="H51" s="18">
        <f t="shared" si="16"/>
        <v>103224.73474678856</v>
      </c>
    </row>
    <row r="52" spans="1:8" x14ac:dyDescent="0.2">
      <c r="A52" s="16">
        <v>41</v>
      </c>
      <c r="B52" s="17">
        <f t="shared" si="6"/>
        <v>103224.73474678856</v>
      </c>
      <c r="C52" s="17">
        <f t="shared" si="0"/>
        <v>7500.0000000000009</v>
      </c>
      <c r="D52" s="18">
        <f t="shared" si="12"/>
        <v>34.049825697725396</v>
      </c>
      <c r="E52" s="18">
        <f t="shared" si="13"/>
        <v>7465.9501743022756</v>
      </c>
      <c r="F52" s="18">
        <f t="shared" si="14"/>
        <v>95758.784572486285</v>
      </c>
      <c r="G52" s="51">
        <f t="shared" si="15"/>
        <v>34.049825697725396</v>
      </c>
      <c r="H52" s="18">
        <f t="shared" si="16"/>
        <v>95758.784572486285</v>
      </c>
    </row>
    <row r="53" spans="1:8" x14ac:dyDescent="0.2">
      <c r="A53" s="16">
        <v>42</v>
      </c>
      <c r="B53" s="17">
        <f t="shared" si="6"/>
        <v>95758.784572486285</v>
      </c>
      <c r="C53" s="17">
        <f t="shared" si="0"/>
        <v>7500.0000000000009</v>
      </c>
      <c r="D53" s="18">
        <f t="shared" si="12"/>
        <v>31.587099077729857</v>
      </c>
      <c r="E53" s="18">
        <f t="shared" si="13"/>
        <v>7468.4129009222706</v>
      </c>
      <c r="F53" s="18">
        <f t="shared" si="14"/>
        <v>88290.371671564018</v>
      </c>
      <c r="G53" s="51">
        <f t="shared" si="15"/>
        <v>31.587099077729857</v>
      </c>
      <c r="H53" s="18">
        <f t="shared" si="16"/>
        <v>88290.371671564018</v>
      </c>
    </row>
    <row r="54" spans="1:8" x14ac:dyDescent="0.2">
      <c r="A54" s="16">
        <v>43</v>
      </c>
      <c r="B54" s="17">
        <f t="shared" si="6"/>
        <v>88290.371671564018</v>
      </c>
      <c r="C54" s="17">
        <f t="shared" si="0"/>
        <v>7500.0000000000009</v>
      </c>
      <c r="D54" s="18">
        <f t="shared" si="12"/>
        <v>29.123560099995078</v>
      </c>
      <c r="E54" s="18">
        <f t="shared" si="13"/>
        <v>7470.8764399000056</v>
      </c>
      <c r="F54" s="18">
        <f t="shared" si="14"/>
        <v>80819.495231664012</v>
      </c>
      <c r="G54" s="51">
        <f t="shared" si="15"/>
        <v>29.123560099995078</v>
      </c>
      <c r="H54" s="18">
        <f t="shared" si="16"/>
        <v>80819.495231664012</v>
      </c>
    </row>
    <row r="55" spans="1:8" x14ac:dyDescent="0.2">
      <c r="A55" s="16">
        <v>44</v>
      </c>
      <c r="B55" s="17">
        <f t="shared" si="6"/>
        <v>80819.495231664012</v>
      </c>
      <c r="C55" s="17">
        <f t="shared" si="0"/>
        <v>7500.0000000000009</v>
      </c>
      <c r="D55" s="18">
        <f t="shared" si="12"/>
        <v>26.659208496555838</v>
      </c>
      <c r="E55" s="18">
        <f t="shared" si="13"/>
        <v>7473.340791503445</v>
      </c>
      <c r="F55" s="18">
        <f t="shared" si="14"/>
        <v>73346.154440160564</v>
      </c>
      <c r="G55" s="51">
        <f t="shared" si="15"/>
        <v>26.659208496555838</v>
      </c>
      <c r="H55" s="18">
        <f t="shared" si="16"/>
        <v>73346.154440160564</v>
      </c>
    </row>
    <row r="56" spans="1:8" x14ac:dyDescent="0.2">
      <c r="A56" s="16">
        <v>45</v>
      </c>
      <c r="B56" s="17">
        <f t="shared" si="6"/>
        <v>73346.154440160564</v>
      </c>
      <c r="C56" s="17">
        <f t="shared" si="0"/>
        <v>7500.0000000000009</v>
      </c>
      <c r="D56" s="18">
        <f t="shared" si="12"/>
        <v>24.194043999358524</v>
      </c>
      <c r="E56" s="18">
        <f t="shared" si="13"/>
        <v>7475.8059560006423</v>
      </c>
      <c r="F56" s="18">
        <f t="shared" si="14"/>
        <v>65870.348484159927</v>
      </c>
      <c r="G56" s="51">
        <f t="shared" si="15"/>
        <v>24.194043999358524</v>
      </c>
      <c r="H56" s="18">
        <f t="shared" si="16"/>
        <v>65870.348484159927</v>
      </c>
    </row>
    <row r="57" spans="1:8" x14ac:dyDescent="0.2">
      <c r="A57" s="16">
        <v>46</v>
      </c>
      <c r="B57" s="17">
        <f t="shared" si="6"/>
        <v>65870.348484159927</v>
      </c>
      <c r="C57" s="17">
        <f t="shared" si="0"/>
        <v>7500.0000000000009</v>
      </c>
      <c r="D57" s="18">
        <f t="shared" si="12"/>
        <v>21.728066340261091</v>
      </c>
      <c r="E57" s="18">
        <f t="shared" si="13"/>
        <v>7478.2719336597402</v>
      </c>
      <c r="F57" s="18">
        <f t="shared" si="14"/>
        <v>58392.076550500191</v>
      </c>
      <c r="G57" s="51">
        <f t="shared" si="15"/>
        <v>21.728066340261091</v>
      </c>
      <c r="H57" s="18">
        <f t="shared" si="16"/>
        <v>58392.076550500191</v>
      </c>
    </row>
    <row r="58" spans="1:8" x14ac:dyDescent="0.2">
      <c r="A58" s="16">
        <v>47</v>
      </c>
      <c r="B58" s="17">
        <f t="shared" si="6"/>
        <v>58392.076550500191</v>
      </c>
      <c r="C58" s="17">
        <f t="shared" si="0"/>
        <v>7500.0000000000009</v>
      </c>
      <c r="D58" s="18">
        <f t="shared" si="12"/>
        <v>19.261275251033052</v>
      </c>
      <c r="E58" s="18">
        <f t="shared" si="13"/>
        <v>7480.7387247489678</v>
      </c>
      <c r="F58" s="18">
        <f t="shared" si="14"/>
        <v>50911.337825751223</v>
      </c>
      <c r="G58" s="51">
        <f t="shared" si="15"/>
        <v>19.261275251033052</v>
      </c>
      <c r="H58" s="18">
        <f t="shared" si="16"/>
        <v>50911.337825751223</v>
      </c>
    </row>
    <row r="59" spans="1:8" x14ac:dyDescent="0.2">
      <c r="A59" s="16">
        <v>48</v>
      </c>
      <c r="B59" s="17">
        <f t="shared" si="6"/>
        <v>50911.337825751223</v>
      </c>
      <c r="C59" s="17">
        <f t="shared" si="0"/>
        <v>7500.0000000000009</v>
      </c>
      <c r="D59" s="18">
        <f t="shared" si="12"/>
        <v>16.79367046335544</v>
      </c>
      <c r="E59" s="18">
        <f t="shared" si="13"/>
        <v>7483.2063295366452</v>
      </c>
      <c r="F59" s="18">
        <f t="shared" si="14"/>
        <v>43428.131496214577</v>
      </c>
      <c r="G59" s="51">
        <f t="shared" si="15"/>
        <v>16.79367046335544</v>
      </c>
      <c r="H59" s="18">
        <f t="shared" si="16"/>
        <v>43428.131496214577</v>
      </c>
    </row>
    <row r="60" spans="1:8" x14ac:dyDescent="0.2">
      <c r="A60" s="16">
        <v>49</v>
      </c>
      <c r="B60" s="17">
        <f t="shared" si="6"/>
        <v>43428.131496214577</v>
      </c>
      <c r="C60" s="17">
        <f t="shared" si="0"/>
        <v>7500.0000000000009</v>
      </c>
      <c r="D60" s="18">
        <f t="shared" si="12"/>
        <v>14.325251708820781</v>
      </c>
      <c r="E60" s="18">
        <f t="shared" si="13"/>
        <v>7485.6747482911805</v>
      </c>
      <c r="F60" s="18">
        <f t="shared" si="14"/>
        <v>35942.456747923396</v>
      </c>
      <c r="G60" s="51">
        <f t="shared" si="15"/>
        <v>14.325251708820781</v>
      </c>
      <c r="H60" s="18">
        <f t="shared" si="16"/>
        <v>35942.456747923396</v>
      </c>
    </row>
    <row r="61" spans="1:8" x14ac:dyDescent="0.2">
      <c r="A61" s="16">
        <v>50</v>
      </c>
      <c r="B61" s="17">
        <f t="shared" si="6"/>
        <v>35942.456747923396</v>
      </c>
      <c r="C61" s="17">
        <f t="shared" si="0"/>
        <v>7500.0000000000009</v>
      </c>
      <c r="D61" s="18">
        <f t="shared" si="12"/>
        <v>11.856018718933065</v>
      </c>
      <c r="E61" s="18">
        <f t="shared" si="13"/>
        <v>7488.1439812810677</v>
      </c>
      <c r="F61" s="18">
        <f t="shared" si="14"/>
        <v>28454.312766642328</v>
      </c>
      <c r="G61" s="51">
        <f t="shared" si="15"/>
        <v>11.856018718933065</v>
      </c>
      <c r="H61" s="18">
        <f t="shared" si="16"/>
        <v>28454.312766642328</v>
      </c>
    </row>
    <row r="62" spans="1:8" x14ac:dyDescent="0.2">
      <c r="A62" s="16">
        <v>51</v>
      </c>
      <c r="B62" s="17">
        <f t="shared" si="6"/>
        <v>28454.312766642328</v>
      </c>
      <c r="C62" s="17">
        <f t="shared" si="0"/>
        <v>7500.0000000000009</v>
      </c>
      <c r="D62" s="18">
        <f t="shared" si="12"/>
        <v>9.3859712251077134</v>
      </c>
      <c r="E62" s="18">
        <f t="shared" si="13"/>
        <v>7490.6140287748931</v>
      </c>
      <c r="F62" s="18">
        <f t="shared" si="14"/>
        <v>20963.698737867435</v>
      </c>
      <c r="G62" s="51">
        <f t="shared" si="15"/>
        <v>9.3859712251077134</v>
      </c>
      <c r="H62" s="18">
        <f t="shared" si="16"/>
        <v>20963.698737867435</v>
      </c>
    </row>
    <row r="63" spans="1:8" x14ac:dyDescent="0.2">
      <c r="A63" s="16">
        <v>52</v>
      </c>
      <c r="B63" s="17">
        <f t="shared" si="6"/>
        <v>20963.698737867435</v>
      </c>
      <c r="C63" s="17">
        <f t="shared" si="0"/>
        <v>7500.0000000000009</v>
      </c>
      <c r="D63" s="18">
        <f t="shared" si="12"/>
        <v>6.9151089586715502</v>
      </c>
      <c r="E63" s="18">
        <f t="shared" si="13"/>
        <v>7493.0848910413297</v>
      </c>
      <c r="F63" s="18">
        <f t="shared" si="14"/>
        <v>13470.613846826105</v>
      </c>
      <c r="G63" s="51">
        <f t="shared" si="15"/>
        <v>6.9151089586715502</v>
      </c>
      <c r="H63" s="18">
        <f t="shared" si="16"/>
        <v>13470.613846826105</v>
      </c>
    </row>
    <row r="64" spans="1:8" x14ac:dyDescent="0.2">
      <c r="A64" s="16">
        <v>53</v>
      </c>
      <c r="B64" s="17">
        <f t="shared" si="6"/>
        <v>13470.613846826105</v>
      </c>
      <c r="C64" s="17">
        <f t="shared" si="0"/>
        <v>7500.0000000000009</v>
      </c>
      <c r="D64" s="18">
        <f t="shared" si="12"/>
        <v>4.4434316508627782</v>
      </c>
      <c r="E64" s="18">
        <f t="shared" si="13"/>
        <v>7495.5565683491377</v>
      </c>
      <c r="F64" s="18">
        <f t="shared" si="14"/>
        <v>5975.0572784769674</v>
      </c>
      <c r="G64" s="51">
        <f t="shared" si="15"/>
        <v>4.4434316508627782</v>
      </c>
      <c r="H64" s="18">
        <f t="shared" si="16"/>
        <v>5975.0572784769674</v>
      </c>
    </row>
    <row r="65" spans="1:8" x14ac:dyDescent="0.2">
      <c r="A65" s="16">
        <v>54</v>
      </c>
      <c r="B65" s="17">
        <f t="shared" si="6"/>
        <v>5975.0572784769674</v>
      </c>
      <c r="C65" s="17">
        <f t="shared" si="0"/>
        <v>7500.0000000000009</v>
      </c>
      <c r="D65" s="18">
        <f t="shared" si="12"/>
        <v>1.9709390328309444</v>
      </c>
      <c r="E65" s="18">
        <f t="shared" si="13"/>
        <v>7498.0290609671702</v>
      </c>
      <c r="F65" s="18">
        <f t="shared" si="14"/>
        <v>-1522.9717824902027</v>
      </c>
      <c r="G65" s="51">
        <f t="shared" si="15"/>
        <v>1.9709390328309444</v>
      </c>
      <c r="H65" s="18">
        <f t="shared" si="16"/>
        <v>-1522.9717824902027</v>
      </c>
    </row>
    <row r="66" spans="1:8" x14ac:dyDescent="0.2">
      <c r="A66" s="16">
        <v>55</v>
      </c>
      <c r="B66" s="17">
        <f t="shared" si="6"/>
        <v>-1522.9717824902027</v>
      </c>
      <c r="C66" s="17">
        <f t="shared" si="0"/>
        <v>7500.0000000000009</v>
      </c>
      <c r="D66" s="18">
        <f t="shared" si="12"/>
        <v>-0.50236916436308776</v>
      </c>
      <c r="E66" s="18">
        <f t="shared" si="13"/>
        <v>7500.5023691643637</v>
      </c>
      <c r="F66" s="18">
        <f t="shared" si="14"/>
        <v>-9023.4741516545655</v>
      </c>
      <c r="G66" s="51">
        <f t="shared" si="15"/>
        <v>-0.50236916436308776</v>
      </c>
      <c r="H66" s="18">
        <f t="shared" si="16"/>
        <v>-9023.4741516545655</v>
      </c>
    </row>
    <row r="67" spans="1:8" x14ac:dyDescent="0.2">
      <c r="A67" s="16">
        <v>56</v>
      </c>
      <c r="B67" s="17">
        <f t="shared" si="6"/>
        <v>-9023.4741516545655</v>
      </c>
      <c r="C67" s="17">
        <f t="shared" si="0"/>
        <v>7500.0000000000009</v>
      </c>
      <c r="D67" s="18">
        <f t="shared" si="12"/>
        <v>-2.9764932097471664</v>
      </c>
      <c r="E67" s="18">
        <f t="shared" si="13"/>
        <v>7502.9764932097478</v>
      </c>
      <c r="F67" s="18">
        <f t="shared" si="14"/>
        <v>-16526.450644864315</v>
      </c>
      <c r="G67" s="51">
        <f t="shared" si="15"/>
        <v>-2.9764932097471664</v>
      </c>
      <c r="H67" s="18">
        <f t="shared" si="16"/>
        <v>-16526.450644864315</v>
      </c>
    </row>
    <row r="68" spans="1:8" x14ac:dyDescent="0.2">
      <c r="A68" s="16">
        <v>57</v>
      </c>
      <c r="B68" s="17">
        <f t="shared" si="6"/>
        <v>-16526.450644864315</v>
      </c>
      <c r="C68" s="17">
        <f t="shared" si="0"/>
        <v>7500.0000000000009</v>
      </c>
      <c r="D68" s="18">
        <f t="shared" si="12"/>
        <v>-5.4514333724378821</v>
      </c>
      <c r="E68" s="18">
        <f t="shared" si="13"/>
        <v>7505.4514333724392</v>
      </c>
      <c r="F68" s="18">
        <f t="shared" si="14"/>
        <v>-24031.902078236755</v>
      </c>
      <c r="G68" s="51">
        <f t="shared" si="15"/>
        <v>-5.4514333724378821</v>
      </c>
      <c r="H68" s="18">
        <f t="shared" si="16"/>
        <v>-24031.902078236755</v>
      </c>
    </row>
    <row r="69" spans="1:8" x14ac:dyDescent="0.2">
      <c r="A69" s="16">
        <v>58</v>
      </c>
      <c r="B69" s="17">
        <f t="shared" si="6"/>
        <v>-24031.902078236755</v>
      </c>
      <c r="C69" s="17">
        <f t="shared" si="0"/>
        <v>7500.0000000000009</v>
      </c>
      <c r="D69" s="18">
        <f t="shared" si="12"/>
        <v>-7.927189921640597</v>
      </c>
      <c r="E69" s="18">
        <f t="shared" si="13"/>
        <v>7507.9271899216419</v>
      </c>
      <c r="F69" s="18">
        <f t="shared" si="14"/>
        <v>-31539.829268158399</v>
      </c>
      <c r="G69" s="51">
        <f t="shared" si="15"/>
        <v>-7.927189921640597</v>
      </c>
      <c r="H69" s="18">
        <f t="shared" si="16"/>
        <v>-31539.829268158399</v>
      </c>
    </row>
    <row r="70" spans="1:8" x14ac:dyDescent="0.2">
      <c r="A70" s="16">
        <v>59</v>
      </c>
      <c r="B70" s="17">
        <f t="shared" si="6"/>
        <v>-31539.829268158399</v>
      </c>
      <c r="C70" s="17">
        <f t="shared" si="0"/>
        <v>7500.0000000000009</v>
      </c>
      <c r="D70" s="18">
        <f t="shared" si="12"/>
        <v>-10.403763126649473</v>
      </c>
      <c r="E70" s="18">
        <f t="shared" si="13"/>
        <v>7510.4037631266501</v>
      </c>
      <c r="F70" s="18">
        <f t="shared" si="14"/>
        <v>-39050.233031285046</v>
      </c>
      <c r="G70" s="51">
        <f t="shared" si="15"/>
        <v>-10.403763126649473</v>
      </c>
      <c r="H70" s="18">
        <f t="shared" si="16"/>
        <v>-39050.233031285046</v>
      </c>
    </row>
    <row r="71" spans="1:8" x14ac:dyDescent="0.2">
      <c r="A71" s="16">
        <v>60</v>
      </c>
      <c r="B71" s="17">
        <f t="shared" si="6"/>
        <v>-39050.233031285046</v>
      </c>
      <c r="C71" s="17">
        <f t="shared" si="0"/>
        <v>7500.0000000000009</v>
      </c>
      <c r="D71" s="18">
        <f t="shared" si="12"/>
        <v>-12.881153256847499</v>
      </c>
      <c r="E71" s="18">
        <f t="shared" si="13"/>
        <v>7512.8811532568488</v>
      </c>
      <c r="F71" s="18">
        <f t="shared" si="14"/>
        <v>-46563.114184541897</v>
      </c>
      <c r="G71" s="51">
        <f t="shared" si="15"/>
        <v>-12.881153256847499</v>
      </c>
      <c r="H71" s="18">
        <f t="shared" si="16"/>
        <v>-46563.114184541897</v>
      </c>
    </row>
    <row r="72" spans="1:8" ht="15" thickBot="1" x14ac:dyDescent="0.25">
      <c r="A72" s="16" t="s">
        <v>17</v>
      </c>
      <c r="B72" s="19"/>
      <c r="C72" s="19"/>
      <c r="D72" s="20">
        <f>SUM(D12:D71)</f>
        <v>3584.2870319604067</v>
      </c>
      <c r="E72" s="20">
        <f t="shared" ref="E72" si="17">SUM(E12:E71)</f>
        <v>446415.71296803968</v>
      </c>
      <c r="F72" s="19"/>
      <c r="G72" s="19"/>
      <c r="H72" s="19"/>
    </row>
    <row r="73" spans="1:8" ht="15" thickTop="1" x14ac:dyDescent="0.2">
      <c r="A73" s="16"/>
    </row>
    <row r="74" spans="1:8" x14ac:dyDescent="0.2">
      <c r="A74" s="16"/>
    </row>
    <row r="75" spans="1:8" x14ac:dyDescent="0.2">
      <c r="A75" s="16"/>
    </row>
    <row r="76" spans="1:8" x14ac:dyDescent="0.2">
      <c r="A76" s="16"/>
    </row>
    <row r="77" spans="1:8" x14ac:dyDescent="0.2">
      <c r="A77" s="16"/>
    </row>
    <row r="78" spans="1:8" x14ac:dyDescent="0.2">
      <c r="A78" s="16"/>
    </row>
    <row r="79" spans="1:8" x14ac:dyDescent="0.2">
      <c r="A79" s="16"/>
    </row>
    <row r="80" spans="1:8" x14ac:dyDescent="0.2">
      <c r="A80" s="16"/>
    </row>
    <row r="81" spans="1:1" x14ac:dyDescent="0.2">
      <c r="A81" s="16"/>
    </row>
    <row r="82" spans="1:1" x14ac:dyDescent="0.2">
      <c r="A82" s="16"/>
    </row>
    <row r="83" spans="1:1" x14ac:dyDescent="0.2">
      <c r="A83" s="16"/>
    </row>
    <row r="84" spans="1:1" x14ac:dyDescent="0.2">
      <c r="A84" s="16"/>
    </row>
    <row r="85" spans="1:1" x14ac:dyDescent="0.2">
      <c r="A85" s="16"/>
    </row>
    <row r="86" spans="1:1" x14ac:dyDescent="0.2">
      <c r="A86" s="16"/>
    </row>
    <row r="87" spans="1:1" x14ac:dyDescent="0.2">
      <c r="A87" s="16"/>
    </row>
    <row r="88" spans="1:1" x14ac:dyDescent="0.2">
      <c r="A88" s="16"/>
    </row>
    <row r="89" spans="1:1" x14ac:dyDescent="0.2">
      <c r="A89" s="16"/>
    </row>
    <row r="90" spans="1:1" x14ac:dyDescent="0.2">
      <c r="A90" s="16"/>
    </row>
    <row r="91" spans="1:1" x14ac:dyDescent="0.2">
      <c r="A91" s="16"/>
    </row>
    <row r="92" spans="1:1" x14ac:dyDescent="0.2">
      <c r="A92" s="16"/>
    </row>
    <row r="93" spans="1:1" x14ac:dyDescent="0.2">
      <c r="A93" s="16"/>
    </row>
    <row r="94" spans="1:1" x14ac:dyDescent="0.2">
      <c r="A94" s="16"/>
    </row>
    <row r="95" spans="1:1" x14ac:dyDescent="0.2">
      <c r="A95" s="16"/>
    </row>
    <row r="96" spans="1:1" x14ac:dyDescent="0.2">
      <c r="A96" s="16"/>
    </row>
    <row r="97" spans="1:1" x14ac:dyDescent="0.2">
      <c r="A97" s="16"/>
    </row>
    <row r="98" spans="1:1" x14ac:dyDescent="0.2">
      <c r="A98" s="16"/>
    </row>
    <row r="99" spans="1:1" x14ac:dyDescent="0.2">
      <c r="A99" s="16"/>
    </row>
    <row r="100" spans="1:1" x14ac:dyDescent="0.2">
      <c r="A100" s="16"/>
    </row>
    <row r="101" spans="1:1" x14ac:dyDescent="0.2">
      <c r="A101" s="16"/>
    </row>
    <row r="102" spans="1:1" x14ac:dyDescent="0.2">
      <c r="A102" s="16"/>
    </row>
    <row r="103" spans="1:1" x14ac:dyDescent="0.2">
      <c r="A103" s="16"/>
    </row>
    <row r="104" spans="1:1" x14ac:dyDescent="0.2">
      <c r="A104" s="16"/>
    </row>
    <row r="105" spans="1:1" x14ac:dyDescent="0.2">
      <c r="A105" s="16"/>
    </row>
    <row r="106" spans="1:1" x14ac:dyDescent="0.2">
      <c r="A106" s="16"/>
    </row>
    <row r="107" spans="1:1" x14ac:dyDescent="0.2">
      <c r="A107" s="16"/>
    </row>
    <row r="108" spans="1:1" x14ac:dyDescent="0.2">
      <c r="A108" s="16"/>
    </row>
    <row r="109" spans="1:1" x14ac:dyDescent="0.2">
      <c r="A109" s="16"/>
    </row>
    <row r="110" spans="1:1" x14ac:dyDescent="0.2">
      <c r="A110" s="16"/>
    </row>
    <row r="111" spans="1:1" x14ac:dyDescent="0.2">
      <c r="A111" s="16"/>
    </row>
    <row r="112" spans="1:1" x14ac:dyDescent="0.2">
      <c r="A112" s="16"/>
    </row>
    <row r="113" spans="1:1" x14ac:dyDescent="0.2">
      <c r="A113" s="16"/>
    </row>
    <row r="114" spans="1:1" x14ac:dyDescent="0.2">
      <c r="A114" s="16"/>
    </row>
    <row r="115" spans="1:1" x14ac:dyDescent="0.2">
      <c r="A115" s="16"/>
    </row>
    <row r="116" spans="1:1" x14ac:dyDescent="0.2">
      <c r="A116" s="16"/>
    </row>
    <row r="117" spans="1:1" x14ac:dyDescent="0.2">
      <c r="A117" s="16"/>
    </row>
    <row r="118" spans="1:1" x14ac:dyDescent="0.2">
      <c r="A118" s="16"/>
    </row>
    <row r="119" spans="1:1" x14ac:dyDescent="0.2">
      <c r="A119" s="16"/>
    </row>
    <row r="120" spans="1:1" x14ac:dyDescent="0.2">
      <c r="A120" s="16"/>
    </row>
    <row r="121" spans="1:1" x14ac:dyDescent="0.2">
      <c r="A121" s="16"/>
    </row>
    <row r="122" spans="1:1" x14ac:dyDescent="0.2">
      <c r="A122" s="16"/>
    </row>
    <row r="123" spans="1:1" x14ac:dyDescent="0.2">
      <c r="A123" s="16"/>
    </row>
    <row r="124" spans="1:1" x14ac:dyDescent="0.2">
      <c r="A124" s="16"/>
    </row>
    <row r="125" spans="1:1" x14ac:dyDescent="0.2">
      <c r="A125" s="16"/>
    </row>
    <row r="126" spans="1:1" x14ac:dyDescent="0.2">
      <c r="A126" s="16"/>
    </row>
    <row r="127" spans="1:1" x14ac:dyDescent="0.2">
      <c r="A127" s="16"/>
    </row>
    <row r="128" spans="1:1" x14ac:dyDescent="0.2">
      <c r="A128" s="16"/>
    </row>
    <row r="129" spans="1:1" x14ac:dyDescent="0.2">
      <c r="A129" s="16"/>
    </row>
    <row r="130" spans="1:1" x14ac:dyDescent="0.2">
      <c r="A130" s="16"/>
    </row>
    <row r="131" spans="1:1" x14ac:dyDescent="0.2">
      <c r="A131" s="16"/>
    </row>
    <row r="132" spans="1:1" x14ac:dyDescent="0.2">
      <c r="A132" s="16"/>
    </row>
    <row r="133" spans="1:1" x14ac:dyDescent="0.2">
      <c r="A133" s="16"/>
    </row>
    <row r="134" spans="1:1" x14ac:dyDescent="0.2">
      <c r="A134" s="16"/>
    </row>
    <row r="135" spans="1:1" x14ac:dyDescent="0.2">
      <c r="A135" s="16"/>
    </row>
    <row r="136" spans="1:1" x14ac:dyDescent="0.2">
      <c r="A136" s="16"/>
    </row>
    <row r="137" spans="1:1" x14ac:dyDescent="0.2">
      <c r="A137" s="16"/>
    </row>
    <row r="138" spans="1:1" x14ac:dyDescent="0.2">
      <c r="A138" s="16"/>
    </row>
    <row r="139" spans="1:1" x14ac:dyDescent="0.2">
      <c r="A139" s="16"/>
    </row>
    <row r="140" spans="1:1" x14ac:dyDescent="0.2">
      <c r="A140" s="16"/>
    </row>
    <row r="141" spans="1:1" x14ac:dyDescent="0.2">
      <c r="A141" s="16"/>
    </row>
    <row r="142" spans="1:1" x14ac:dyDescent="0.2">
      <c r="A142" s="16"/>
    </row>
    <row r="143" spans="1:1" x14ac:dyDescent="0.2">
      <c r="A143" s="16"/>
    </row>
    <row r="144" spans="1:1" x14ac:dyDescent="0.2">
      <c r="A144" s="16"/>
    </row>
    <row r="145" spans="1:1" x14ac:dyDescent="0.2">
      <c r="A145" s="16"/>
    </row>
    <row r="146" spans="1:1" x14ac:dyDescent="0.2">
      <c r="A146" s="16"/>
    </row>
    <row r="147" spans="1:1" x14ac:dyDescent="0.2">
      <c r="A147" s="16"/>
    </row>
    <row r="148" spans="1:1" x14ac:dyDescent="0.2">
      <c r="A148" s="16"/>
    </row>
    <row r="149" spans="1:1" x14ac:dyDescent="0.2">
      <c r="A149" s="16"/>
    </row>
    <row r="150" spans="1:1" x14ac:dyDescent="0.2">
      <c r="A150" s="16"/>
    </row>
    <row r="151" spans="1:1" x14ac:dyDescent="0.2">
      <c r="A151" s="16"/>
    </row>
    <row r="152" spans="1:1" x14ac:dyDescent="0.2">
      <c r="A152" s="16"/>
    </row>
    <row r="153" spans="1:1" x14ac:dyDescent="0.2">
      <c r="A153" s="16"/>
    </row>
    <row r="154" spans="1:1" x14ac:dyDescent="0.2">
      <c r="A154" s="16"/>
    </row>
    <row r="155" spans="1:1" x14ac:dyDescent="0.2">
      <c r="A155" s="16"/>
    </row>
    <row r="156" spans="1:1" x14ac:dyDescent="0.2">
      <c r="A156" s="16"/>
    </row>
    <row r="157" spans="1:1" x14ac:dyDescent="0.2">
      <c r="A157" s="16"/>
    </row>
    <row r="158" spans="1:1" x14ac:dyDescent="0.2">
      <c r="A158" s="16"/>
    </row>
    <row r="159" spans="1:1" x14ac:dyDescent="0.2">
      <c r="A159" s="16"/>
    </row>
    <row r="160" spans="1:1" x14ac:dyDescent="0.2">
      <c r="A160" s="16"/>
    </row>
    <row r="161" spans="1:1" x14ac:dyDescent="0.2">
      <c r="A161" s="16"/>
    </row>
    <row r="162" spans="1:1" x14ac:dyDescent="0.2">
      <c r="A162" s="16"/>
    </row>
    <row r="163" spans="1:1" x14ac:dyDescent="0.2">
      <c r="A163" s="16"/>
    </row>
    <row r="164" spans="1:1" x14ac:dyDescent="0.2">
      <c r="A164" s="16"/>
    </row>
    <row r="165" spans="1:1" x14ac:dyDescent="0.2">
      <c r="A165" s="16"/>
    </row>
    <row r="166" spans="1:1" x14ac:dyDescent="0.2">
      <c r="A166" s="16"/>
    </row>
    <row r="167" spans="1:1" x14ac:dyDescent="0.2">
      <c r="A167" s="16"/>
    </row>
    <row r="168" spans="1:1" x14ac:dyDescent="0.2">
      <c r="A168" s="16"/>
    </row>
    <row r="169" spans="1:1" x14ac:dyDescent="0.2">
      <c r="A169" s="16"/>
    </row>
    <row r="170" spans="1:1" x14ac:dyDescent="0.2">
      <c r="A170" s="16"/>
    </row>
    <row r="171" spans="1:1" x14ac:dyDescent="0.2">
      <c r="A171" s="16"/>
    </row>
    <row r="172" spans="1:1" x14ac:dyDescent="0.2">
      <c r="A172" s="16"/>
    </row>
    <row r="173" spans="1:1" x14ac:dyDescent="0.2">
      <c r="A173" s="16"/>
    </row>
    <row r="174" spans="1:1" x14ac:dyDescent="0.2">
      <c r="A174" s="16"/>
    </row>
    <row r="175" spans="1:1" x14ac:dyDescent="0.2">
      <c r="A175" s="16"/>
    </row>
    <row r="176" spans="1:1" x14ac:dyDescent="0.2">
      <c r="A176" s="16"/>
    </row>
    <row r="177" spans="1:1" x14ac:dyDescent="0.2">
      <c r="A177" s="16"/>
    </row>
    <row r="178" spans="1:1" x14ac:dyDescent="0.2">
      <c r="A178" s="16"/>
    </row>
    <row r="179" spans="1:1" x14ac:dyDescent="0.2">
      <c r="A179" s="16"/>
    </row>
    <row r="180" spans="1:1" x14ac:dyDescent="0.2">
      <c r="A180" s="16"/>
    </row>
    <row r="181" spans="1:1" x14ac:dyDescent="0.2">
      <c r="A181" s="16"/>
    </row>
    <row r="182" spans="1:1" x14ac:dyDescent="0.2">
      <c r="A182" s="16"/>
    </row>
    <row r="183" spans="1:1" x14ac:dyDescent="0.2">
      <c r="A183" s="16"/>
    </row>
    <row r="184" spans="1:1" x14ac:dyDescent="0.2">
      <c r="A184" s="16"/>
    </row>
    <row r="185" spans="1:1" x14ac:dyDescent="0.2">
      <c r="A185" s="16"/>
    </row>
    <row r="186" spans="1:1" x14ac:dyDescent="0.2">
      <c r="A186" s="16"/>
    </row>
    <row r="187" spans="1:1" x14ac:dyDescent="0.2">
      <c r="A187" s="16"/>
    </row>
    <row r="188" spans="1:1" x14ac:dyDescent="0.2">
      <c r="A188" s="16"/>
    </row>
    <row r="189" spans="1:1" x14ac:dyDescent="0.2">
      <c r="A189" s="16"/>
    </row>
    <row r="190" spans="1:1" x14ac:dyDescent="0.2">
      <c r="A190" s="16"/>
    </row>
    <row r="191" spans="1:1" x14ac:dyDescent="0.2">
      <c r="A191" s="16"/>
    </row>
    <row r="192" spans="1:1" x14ac:dyDescent="0.2">
      <c r="A192" s="16"/>
    </row>
    <row r="193" spans="1:1" x14ac:dyDescent="0.2">
      <c r="A193" s="16"/>
    </row>
    <row r="194" spans="1:1" x14ac:dyDescent="0.2">
      <c r="A194" s="16"/>
    </row>
    <row r="195" spans="1:1" x14ac:dyDescent="0.2">
      <c r="A195" s="16"/>
    </row>
    <row r="196" spans="1:1" x14ac:dyDescent="0.2">
      <c r="A196" s="16"/>
    </row>
    <row r="197" spans="1:1" x14ac:dyDescent="0.2">
      <c r="A197" s="16"/>
    </row>
    <row r="198" spans="1:1" x14ac:dyDescent="0.2">
      <c r="A198" s="16"/>
    </row>
    <row r="199" spans="1:1" x14ac:dyDescent="0.2">
      <c r="A199" s="16"/>
    </row>
    <row r="200" spans="1:1" x14ac:dyDescent="0.2">
      <c r="A200" s="16"/>
    </row>
    <row r="201" spans="1:1" x14ac:dyDescent="0.2">
      <c r="A201" s="16"/>
    </row>
    <row r="202" spans="1:1" x14ac:dyDescent="0.2">
      <c r="A202" s="16"/>
    </row>
    <row r="203" spans="1:1" x14ac:dyDescent="0.2">
      <c r="A203" s="16"/>
    </row>
    <row r="204" spans="1:1" x14ac:dyDescent="0.2">
      <c r="A204" s="16"/>
    </row>
    <row r="205" spans="1:1" x14ac:dyDescent="0.2">
      <c r="A205" s="16"/>
    </row>
    <row r="206" spans="1:1" x14ac:dyDescent="0.2">
      <c r="A206" s="16"/>
    </row>
    <row r="207" spans="1:1" x14ac:dyDescent="0.2">
      <c r="A207" s="16"/>
    </row>
    <row r="208" spans="1:1" x14ac:dyDescent="0.2">
      <c r="A208" s="16"/>
    </row>
    <row r="209" spans="1:1" x14ac:dyDescent="0.2">
      <c r="A209" s="16"/>
    </row>
    <row r="210" spans="1:1" x14ac:dyDescent="0.2">
      <c r="A210" s="16"/>
    </row>
    <row r="211" spans="1:1" x14ac:dyDescent="0.2">
      <c r="A211" s="16"/>
    </row>
    <row r="212" spans="1:1" x14ac:dyDescent="0.2">
      <c r="A212" s="16"/>
    </row>
    <row r="213" spans="1:1" x14ac:dyDescent="0.2">
      <c r="A213" s="16"/>
    </row>
    <row r="214" spans="1:1" x14ac:dyDescent="0.2">
      <c r="A214" s="16"/>
    </row>
    <row r="215" spans="1:1" x14ac:dyDescent="0.2">
      <c r="A215" s="16"/>
    </row>
    <row r="216" spans="1:1" x14ac:dyDescent="0.2">
      <c r="A216" s="16"/>
    </row>
    <row r="217" spans="1:1" x14ac:dyDescent="0.2">
      <c r="A217" s="16"/>
    </row>
    <row r="218" spans="1:1" x14ac:dyDescent="0.2">
      <c r="A218" s="16"/>
    </row>
    <row r="219" spans="1:1" x14ac:dyDescent="0.2">
      <c r="A219" s="16"/>
    </row>
    <row r="220" spans="1:1" x14ac:dyDescent="0.2">
      <c r="A220" s="16"/>
    </row>
    <row r="221" spans="1:1" x14ac:dyDescent="0.2">
      <c r="A221" s="16"/>
    </row>
    <row r="222" spans="1:1" x14ac:dyDescent="0.2">
      <c r="A222" s="16"/>
    </row>
    <row r="223" spans="1:1" x14ac:dyDescent="0.2">
      <c r="A223" s="16"/>
    </row>
    <row r="224" spans="1:1" x14ac:dyDescent="0.2">
      <c r="A224" s="16"/>
    </row>
    <row r="225" spans="1:1" x14ac:dyDescent="0.2">
      <c r="A225" s="16"/>
    </row>
    <row r="226" spans="1:1" x14ac:dyDescent="0.2">
      <c r="A226" s="16"/>
    </row>
    <row r="227" spans="1:1" x14ac:dyDescent="0.2">
      <c r="A227" s="16"/>
    </row>
    <row r="228" spans="1:1" x14ac:dyDescent="0.2">
      <c r="A228" s="16"/>
    </row>
    <row r="229" spans="1:1" x14ac:dyDescent="0.2">
      <c r="A229" s="16"/>
    </row>
    <row r="230" spans="1:1" x14ac:dyDescent="0.2">
      <c r="A230" s="16"/>
    </row>
    <row r="231" spans="1:1" x14ac:dyDescent="0.2">
      <c r="A231" s="16"/>
    </row>
    <row r="232" spans="1:1" x14ac:dyDescent="0.2">
      <c r="A232" s="16"/>
    </row>
    <row r="233" spans="1:1" x14ac:dyDescent="0.2">
      <c r="A233" s="16"/>
    </row>
    <row r="234" spans="1:1" x14ac:dyDescent="0.2">
      <c r="A234" s="16"/>
    </row>
    <row r="235" spans="1:1" x14ac:dyDescent="0.2">
      <c r="A235" s="16"/>
    </row>
    <row r="236" spans="1:1" x14ac:dyDescent="0.2">
      <c r="A236" s="16"/>
    </row>
    <row r="237" spans="1:1" x14ac:dyDescent="0.2">
      <c r="A237" s="16"/>
    </row>
    <row r="238" spans="1:1" x14ac:dyDescent="0.2">
      <c r="A238" s="16"/>
    </row>
    <row r="239" spans="1:1" x14ac:dyDescent="0.2">
      <c r="A239" s="16"/>
    </row>
    <row r="240" spans="1:1" x14ac:dyDescent="0.2">
      <c r="A240" s="16"/>
    </row>
    <row r="241" spans="1:1" x14ac:dyDescent="0.2">
      <c r="A241" s="16"/>
    </row>
    <row r="242" spans="1:1" x14ac:dyDescent="0.2">
      <c r="A242" s="16"/>
    </row>
    <row r="243" spans="1:1" x14ac:dyDescent="0.2">
      <c r="A243" s="16"/>
    </row>
    <row r="244" spans="1:1" x14ac:dyDescent="0.2">
      <c r="A244" s="16"/>
    </row>
    <row r="245" spans="1:1" x14ac:dyDescent="0.2">
      <c r="A245" s="16"/>
    </row>
    <row r="246" spans="1:1" x14ac:dyDescent="0.2">
      <c r="A246" s="16"/>
    </row>
    <row r="247" spans="1:1" x14ac:dyDescent="0.2">
      <c r="A247" s="16"/>
    </row>
    <row r="248" spans="1:1" x14ac:dyDescent="0.2">
      <c r="A248" s="16"/>
    </row>
    <row r="249" spans="1:1" x14ac:dyDescent="0.2">
      <c r="A249" s="16"/>
    </row>
    <row r="250" spans="1:1" x14ac:dyDescent="0.2">
      <c r="A250" s="16"/>
    </row>
    <row r="251" spans="1:1" x14ac:dyDescent="0.2">
      <c r="A251" s="16"/>
    </row>
    <row r="252" spans="1:1" x14ac:dyDescent="0.2">
      <c r="A252" s="16"/>
    </row>
    <row r="253" spans="1:1" x14ac:dyDescent="0.2">
      <c r="A253" s="16"/>
    </row>
  </sheetData>
  <scenarios current="0" sqref="B6">
    <scenario name="Good" locked="1" count="2" user="kyler suess" comment="Created by kyler suess on 7/23/2023">
      <inputCells r="B7" val="0.325" numFmtId="10"/>
      <inputCells r="B8" val="5" numFmtId="165"/>
    </scenario>
    <scenario name="Most Likely" locked="1" count="2" user="kyler suess" comment="Created by kyler suess on 7/23/2023">
      <inputCells r="B7" val="0.396" numFmtId="10"/>
      <inputCells r="B8" val="5" numFmtId="165"/>
    </scenario>
    <scenario name="Bad" locked="1" count="2" user="kyler suess" comment="Created by kyler suess on 7/23/2023">
      <inputCells r="B7" val="0.45" numFmtId="10"/>
      <inputCells r="B8" val="4" numFmtId="165"/>
    </scenario>
  </scenarios>
  <mergeCells count="1">
    <mergeCell ref="A1:H1"/>
  </mergeCells>
  <pageMargins left="0.7" right="0.7" top="0.75" bottom="0.75" header="0.3" footer="0.3"/>
  <pageSetup orientation="portrait" r:id="rId1"/>
  <headerFooter>
    <oddFooter>&amp;LKyler Suess&amp;C2nd Location&amp;Rexam3_SuessKyler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A619B-C07C-44CA-8A62-1F038C9876F9}">
  <sheetPr>
    <outlinePr summaryBelow="0"/>
  </sheetPr>
  <dimension ref="B1:G12"/>
  <sheetViews>
    <sheetView showGridLines="0" zoomScaleNormal="100" workbookViewId="0">
      <selection activeCell="E45" sqref="E45"/>
    </sheetView>
  </sheetViews>
  <sheetFormatPr defaultRowHeight="14.25" outlineLevelRow="1" outlineLevelCol="1" x14ac:dyDescent="0.2"/>
  <cols>
    <col min="3" max="3" width="5.125" bestFit="1" customWidth="1"/>
    <col min="4" max="7" width="12.25" bestFit="1" customWidth="1" outlineLevel="1"/>
  </cols>
  <sheetData>
    <row r="1" spans="2:7" ht="15" thickBot="1" x14ac:dyDescent="0.25"/>
    <row r="2" spans="2:7" ht="15.75" x14ac:dyDescent="0.25">
      <c r="B2" s="40" t="s">
        <v>92</v>
      </c>
      <c r="C2" s="40"/>
      <c r="D2" s="45"/>
      <c r="E2" s="45"/>
      <c r="F2" s="45"/>
      <c r="G2" s="45"/>
    </row>
    <row r="3" spans="2:7" ht="15.75" collapsed="1" x14ac:dyDescent="0.25">
      <c r="B3" s="39"/>
      <c r="C3" s="39"/>
      <c r="D3" s="46" t="s">
        <v>94</v>
      </c>
      <c r="E3" s="46" t="s">
        <v>88</v>
      </c>
      <c r="F3" s="46" t="s">
        <v>90</v>
      </c>
      <c r="G3" s="46" t="s">
        <v>91</v>
      </c>
    </row>
    <row r="4" spans="2:7" ht="31.5" hidden="1" outlineLevel="1" x14ac:dyDescent="0.25">
      <c r="B4" s="42"/>
      <c r="C4" s="42"/>
      <c r="E4" s="49" t="s">
        <v>89</v>
      </c>
      <c r="F4" s="49" t="s">
        <v>89</v>
      </c>
      <c r="G4" s="49" t="s">
        <v>89</v>
      </c>
    </row>
    <row r="5" spans="2:7" ht="15" x14ac:dyDescent="0.25">
      <c r="B5" s="43" t="s">
        <v>93</v>
      </c>
      <c r="C5" s="43"/>
      <c r="D5" s="41"/>
      <c r="E5" s="41"/>
      <c r="F5" s="41"/>
      <c r="G5" s="41"/>
    </row>
    <row r="6" spans="2:7" ht="15" outlineLevel="1" x14ac:dyDescent="0.25">
      <c r="B6" s="42"/>
      <c r="C6" s="42" t="s">
        <v>86</v>
      </c>
      <c r="D6" s="37">
        <v>4.7500000000000001E-2</v>
      </c>
      <c r="E6" s="47">
        <v>0.32500000000000001</v>
      </c>
      <c r="F6" s="47">
        <v>0.39600000000000002</v>
      </c>
      <c r="G6" s="47">
        <v>0.45</v>
      </c>
    </row>
    <row r="7" spans="2:7" ht="15" outlineLevel="1" x14ac:dyDescent="0.25">
      <c r="B7" s="42"/>
      <c r="C7" s="42" t="s">
        <v>87</v>
      </c>
      <c r="D7" s="38">
        <v>5</v>
      </c>
      <c r="E7" s="48">
        <v>5</v>
      </c>
      <c r="F7" s="48">
        <v>5</v>
      </c>
      <c r="G7" s="48">
        <v>4</v>
      </c>
    </row>
    <row r="8" spans="2:7" ht="15" x14ac:dyDescent="0.25">
      <c r="B8" s="43" t="s">
        <v>95</v>
      </c>
      <c r="C8" s="43"/>
      <c r="D8" s="41"/>
      <c r="E8" s="41"/>
      <c r="F8" s="41"/>
      <c r="G8" s="41"/>
    </row>
    <row r="9" spans="2:7" ht="15.75" outlineLevel="1" thickBot="1" x14ac:dyDescent="0.3">
      <c r="B9" s="44"/>
      <c r="C9" s="44" t="s">
        <v>99</v>
      </c>
      <c r="D9" s="50">
        <v>7500</v>
      </c>
      <c r="E9" s="50">
        <v>13557.256656162401</v>
      </c>
      <c r="F9" s="50">
        <v>15388.8901821217</v>
      </c>
      <c r="G9" s="50">
        <v>18083.771518200901</v>
      </c>
    </row>
    <row r="10" spans="2:7" x14ac:dyDescent="0.2">
      <c r="B10" t="s">
        <v>96</v>
      </c>
    </row>
    <row r="11" spans="2:7" x14ac:dyDescent="0.2">
      <c r="B11" t="s">
        <v>97</v>
      </c>
    </row>
    <row r="12" spans="2:7" x14ac:dyDescent="0.2">
      <c r="B12" t="s">
        <v>98</v>
      </c>
    </row>
  </sheetData>
  <pageMargins left="0.7" right="0.7" top="0.75" bottom="0.75" header="0.3" footer="0.3"/>
  <pageSetup orientation="portrait" r:id="rId1"/>
  <headerFooter>
    <oddFooter>&amp;LKyler Suess&amp;CScenario Summary&amp;Rexam3_SuessKyler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AAFCD893-A830-4D9F-8D76-D7622D9C157C}">
  <ds:schemaRefs/>
</ds:datastoreItem>
</file>

<file path=customXml/itemProps2.xml><?xml version="1.0" encoding="utf-8"?>
<ds:datastoreItem xmlns:ds="http://schemas.openxmlformats.org/officeDocument/2006/customXml" ds:itemID="{88AE7253-33E4-49FF-B85A-DD9426AD3369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147DBD75-057D-4FF4-A603-DF50AC6BFBC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Current</vt:lpstr>
      <vt:lpstr>2nd Location</vt:lpstr>
      <vt:lpstr>Scenario Summary</vt:lpstr>
      <vt:lpstr>Current!Criteria</vt:lpstr>
      <vt:lpstr>Current!Extract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Exploring Series</dc:creator>
  <cp:lastModifiedBy>kyler suess</cp:lastModifiedBy>
  <dcterms:created xsi:type="dcterms:W3CDTF">2018-08-23T16:22:35Z</dcterms:created>
  <dcterms:modified xsi:type="dcterms:W3CDTF">2023-07-23T20:44:26Z</dcterms:modified>
</cp:coreProperties>
</file>